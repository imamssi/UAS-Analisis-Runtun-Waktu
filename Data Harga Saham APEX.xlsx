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tr">
        <f>IFERROR(__xludf.DUMMYFUNCTION("GOOGLEFINANCE(""IDX:APEX"", ""close"", ""2023-01-01"", ""2025-12-31"", 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IFERROR(__xludf.DUMMYFUNCTION("""COMPUTED_VALUE"""),44928.66666666667)</f>
        <v>44928.66667</v>
      </c>
      <c r="B2" s="3">
        <f>IFERROR(__xludf.DUMMYFUNCTION("""COMPUTED_VALUE"""),176.0)</f>
        <v>176</v>
      </c>
    </row>
    <row r="3">
      <c r="A3" s="2">
        <f>IFERROR(__xludf.DUMMYFUNCTION("""COMPUTED_VALUE"""),44929.66666666667)</f>
        <v>44929.66667</v>
      </c>
      <c r="B3" s="3">
        <f>IFERROR(__xludf.DUMMYFUNCTION("""COMPUTED_VALUE"""),174.0)</f>
        <v>174</v>
      </c>
    </row>
    <row r="4">
      <c r="A4" s="2">
        <f>IFERROR(__xludf.DUMMYFUNCTION("""COMPUTED_VALUE"""),44930.66666666667)</f>
        <v>44930.66667</v>
      </c>
      <c r="B4" s="3">
        <f>IFERROR(__xludf.DUMMYFUNCTION("""COMPUTED_VALUE"""),234.0)</f>
        <v>234</v>
      </c>
    </row>
    <row r="5">
      <c r="A5" s="2">
        <f>IFERROR(__xludf.DUMMYFUNCTION("""COMPUTED_VALUE"""),44931.66666666667)</f>
        <v>44931.66667</v>
      </c>
      <c r="B5" s="3">
        <f>IFERROR(__xludf.DUMMYFUNCTION("""COMPUTED_VALUE"""),270.0)</f>
        <v>270</v>
      </c>
    </row>
    <row r="6">
      <c r="A6" s="2">
        <f>IFERROR(__xludf.DUMMYFUNCTION("""COMPUTED_VALUE"""),44932.66666666667)</f>
        <v>44932.66667</v>
      </c>
      <c r="B6" s="3">
        <f>IFERROR(__xludf.DUMMYFUNCTION("""COMPUTED_VALUE"""),252.0)</f>
        <v>252</v>
      </c>
    </row>
    <row r="7">
      <c r="A7" s="2">
        <f>IFERROR(__xludf.DUMMYFUNCTION("""COMPUTED_VALUE"""),44935.66666666667)</f>
        <v>44935.66667</v>
      </c>
      <c r="B7" s="3">
        <f>IFERROR(__xludf.DUMMYFUNCTION("""COMPUTED_VALUE"""),236.0)</f>
        <v>236</v>
      </c>
    </row>
    <row r="8">
      <c r="A8" s="2">
        <f>IFERROR(__xludf.DUMMYFUNCTION("""COMPUTED_VALUE"""),44936.66666666667)</f>
        <v>44936.66667</v>
      </c>
      <c r="B8" s="3">
        <f>IFERROR(__xludf.DUMMYFUNCTION("""COMPUTED_VALUE"""),220.0)</f>
        <v>220</v>
      </c>
    </row>
    <row r="9">
      <c r="A9" s="2">
        <f>IFERROR(__xludf.DUMMYFUNCTION("""COMPUTED_VALUE"""),44937.66666666667)</f>
        <v>44937.66667</v>
      </c>
      <c r="B9" s="3">
        <f>IFERROR(__xludf.DUMMYFUNCTION("""COMPUTED_VALUE"""),206.0)</f>
        <v>206</v>
      </c>
    </row>
    <row r="10">
      <c r="A10" s="2">
        <f>IFERROR(__xludf.DUMMYFUNCTION("""COMPUTED_VALUE"""),44938.66666666667)</f>
        <v>44938.66667</v>
      </c>
      <c r="B10" s="3">
        <f>IFERROR(__xludf.DUMMYFUNCTION("""COMPUTED_VALUE"""),193.0)</f>
        <v>193</v>
      </c>
    </row>
    <row r="11">
      <c r="A11" s="2">
        <f>IFERROR(__xludf.DUMMYFUNCTION("""COMPUTED_VALUE"""),44939.66666666667)</f>
        <v>44939.66667</v>
      </c>
      <c r="B11" s="3">
        <f>IFERROR(__xludf.DUMMYFUNCTION("""COMPUTED_VALUE"""),188.0)</f>
        <v>188</v>
      </c>
    </row>
    <row r="12">
      <c r="A12" s="2">
        <f>IFERROR(__xludf.DUMMYFUNCTION("""COMPUTED_VALUE"""),44942.66666666667)</f>
        <v>44942.66667</v>
      </c>
      <c r="B12" s="3">
        <f>IFERROR(__xludf.DUMMYFUNCTION("""COMPUTED_VALUE"""),191.0)</f>
        <v>191</v>
      </c>
    </row>
    <row r="13">
      <c r="A13" s="2">
        <f>IFERROR(__xludf.DUMMYFUNCTION("""COMPUTED_VALUE"""),44943.66666666667)</f>
        <v>44943.66667</v>
      </c>
      <c r="B13" s="3">
        <f>IFERROR(__xludf.DUMMYFUNCTION("""COMPUTED_VALUE"""),187.0)</f>
        <v>187</v>
      </c>
    </row>
    <row r="14">
      <c r="A14" s="2">
        <f>IFERROR(__xludf.DUMMYFUNCTION("""COMPUTED_VALUE"""),44944.66666666667)</f>
        <v>44944.66667</v>
      </c>
      <c r="B14" s="3">
        <f>IFERROR(__xludf.DUMMYFUNCTION("""COMPUTED_VALUE"""),183.0)</f>
        <v>183</v>
      </c>
    </row>
    <row r="15">
      <c r="A15" s="2">
        <f>IFERROR(__xludf.DUMMYFUNCTION("""COMPUTED_VALUE"""),44945.66666666667)</f>
        <v>44945.66667</v>
      </c>
      <c r="B15" s="3">
        <f>IFERROR(__xludf.DUMMYFUNCTION("""COMPUTED_VALUE"""),183.0)</f>
        <v>183</v>
      </c>
    </row>
    <row r="16">
      <c r="A16" s="2">
        <f>IFERROR(__xludf.DUMMYFUNCTION("""COMPUTED_VALUE"""),44946.66666666667)</f>
        <v>44946.66667</v>
      </c>
      <c r="B16" s="3">
        <f>IFERROR(__xludf.DUMMYFUNCTION("""COMPUTED_VALUE"""),186.0)</f>
        <v>186</v>
      </c>
    </row>
    <row r="17">
      <c r="A17" s="2">
        <f>IFERROR(__xludf.DUMMYFUNCTION("""COMPUTED_VALUE"""),44950.66666666667)</f>
        <v>44950.66667</v>
      </c>
      <c r="B17" s="3">
        <f>IFERROR(__xludf.DUMMYFUNCTION("""COMPUTED_VALUE"""),190.0)</f>
        <v>190</v>
      </c>
    </row>
    <row r="18">
      <c r="A18" s="2">
        <f>IFERROR(__xludf.DUMMYFUNCTION("""COMPUTED_VALUE"""),44951.66666666667)</f>
        <v>44951.66667</v>
      </c>
      <c r="B18" s="3">
        <f>IFERROR(__xludf.DUMMYFUNCTION("""COMPUTED_VALUE"""),192.0)</f>
        <v>192</v>
      </c>
    </row>
    <row r="19">
      <c r="A19" s="2">
        <f>IFERROR(__xludf.DUMMYFUNCTION("""COMPUTED_VALUE"""),44952.66666666667)</f>
        <v>44952.66667</v>
      </c>
      <c r="B19" s="3">
        <f>IFERROR(__xludf.DUMMYFUNCTION("""COMPUTED_VALUE"""),188.0)</f>
        <v>188</v>
      </c>
    </row>
    <row r="20">
      <c r="A20" s="2">
        <f>IFERROR(__xludf.DUMMYFUNCTION("""COMPUTED_VALUE"""),44953.66666666667)</f>
        <v>44953.66667</v>
      </c>
      <c r="B20" s="3">
        <f>IFERROR(__xludf.DUMMYFUNCTION("""COMPUTED_VALUE"""),189.0)</f>
        <v>189</v>
      </c>
    </row>
    <row r="21">
      <c r="A21" s="2">
        <f>IFERROR(__xludf.DUMMYFUNCTION("""COMPUTED_VALUE"""),44956.66666666667)</f>
        <v>44956.66667</v>
      </c>
      <c r="B21" s="3">
        <f>IFERROR(__xludf.DUMMYFUNCTION("""COMPUTED_VALUE"""),192.0)</f>
        <v>192</v>
      </c>
    </row>
    <row r="22">
      <c r="A22" s="2">
        <f>IFERROR(__xludf.DUMMYFUNCTION("""COMPUTED_VALUE"""),44957.66666666667)</f>
        <v>44957.66667</v>
      </c>
      <c r="B22" s="3">
        <f>IFERROR(__xludf.DUMMYFUNCTION("""COMPUTED_VALUE"""),191.0)</f>
        <v>191</v>
      </c>
    </row>
    <row r="23">
      <c r="A23" s="2">
        <f>IFERROR(__xludf.DUMMYFUNCTION("""COMPUTED_VALUE"""),44958.66666666667)</f>
        <v>44958.66667</v>
      </c>
      <c r="B23" s="3">
        <f>IFERROR(__xludf.DUMMYFUNCTION("""COMPUTED_VALUE"""),192.0)</f>
        <v>192</v>
      </c>
    </row>
    <row r="24">
      <c r="A24" s="2">
        <f>IFERROR(__xludf.DUMMYFUNCTION("""COMPUTED_VALUE"""),44959.66666666667)</f>
        <v>44959.66667</v>
      </c>
      <c r="B24" s="3">
        <f>IFERROR(__xludf.DUMMYFUNCTION("""COMPUTED_VALUE"""),192.0)</f>
        <v>192</v>
      </c>
    </row>
    <row r="25">
      <c r="A25" s="2">
        <f>IFERROR(__xludf.DUMMYFUNCTION("""COMPUTED_VALUE"""),44960.66666666667)</f>
        <v>44960.66667</v>
      </c>
      <c r="B25" s="3">
        <f>IFERROR(__xludf.DUMMYFUNCTION("""COMPUTED_VALUE"""),186.0)</f>
        <v>186</v>
      </c>
    </row>
    <row r="26">
      <c r="A26" s="2">
        <f>IFERROR(__xludf.DUMMYFUNCTION("""COMPUTED_VALUE"""),44963.66666666667)</f>
        <v>44963.66667</v>
      </c>
      <c r="B26" s="3">
        <f>IFERROR(__xludf.DUMMYFUNCTION("""COMPUTED_VALUE"""),177.0)</f>
        <v>177</v>
      </c>
    </row>
    <row r="27">
      <c r="A27" s="2">
        <f>IFERROR(__xludf.DUMMYFUNCTION("""COMPUTED_VALUE"""),44964.66666666667)</f>
        <v>44964.66667</v>
      </c>
      <c r="B27" s="3">
        <f>IFERROR(__xludf.DUMMYFUNCTION("""COMPUTED_VALUE"""),178.0)</f>
        <v>178</v>
      </c>
    </row>
    <row r="28">
      <c r="A28" s="2">
        <f>IFERROR(__xludf.DUMMYFUNCTION("""COMPUTED_VALUE"""),44965.66666666667)</f>
        <v>44965.66667</v>
      </c>
      <c r="B28" s="3">
        <f>IFERROR(__xludf.DUMMYFUNCTION("""COMPUTED_VALUE"""),182.0)</f>
        <v>182</v>
      </c>
    </row>
    <row r="29">
      <c r="A29" s="2">
        <f>IFERROR(__xludf.DUMMYFUNCTION("""COMPUTED_VALUE"""),44966.66666666667)</f>
        <v>44966.66667</v>
      </c>
      <c r="B29" s="3">
        <f>IFERROR(__xludf.DUMMYFUNCTION("""COMPUTED_VALUE"""),180.0)</f>
        <v>180</v>
      </c>
    </row>
    <row r="30">
      <c r="A30" s="2">
        <f>IFERROR(__xludf.DUMMYFUNCTION("""COMPUTED_VALUE"""),44967.66666666667)</f>
        <v>44967.66667</v>
      </c>
      <c r="B30" s="3">
        <f>IFERROR(__xludf.DUMMYFUNCTION("""COMPUTED_VALUE"""),178.0)</f>
        <v>178</v>
      </c>
    </row>
    <row r="31">
      <c r="A31" s="2">
        <f>IFERROR(__xludf.DUMMYFUNCTION("""COMPUTED_VALUE"""),44970.66666666667)</f>
        <v>44970.66667</v>
      </c>
      <c r="B31" s="3">
        <f>IFERROR(__xludf.DUMMYFUNCTION("""COMPUTED_VALUE"""),178.0)</f>
        <v>178</v>
      </c>
    </row>
    <row r="32">
      <c r="A32" s="2">
        <f>IFERROR(__xludf.DUMMYFUNCTION("""COMPUTED_VALUE"""),44971.66666666667)</f>
        <v>44971.66667</v>
      </c>
      <c r="B32" s="3">
        <f>IFERROR(__xludf.DUMMYFUNCTION("""COMPUTED_VALUE"""),180.0)</f>
        <v>180</v>
      </c>
    </row>
    <row r="33">
      <c r="A33" s="2">
        <f>IFERROR(__xludf.DUMMYFUNCTION("""COMPUTED_VALUE"""),44972.66666666667)</f>
        <v>44972.66667</v>
      </c>
      <c r="B33" s="3">
        <f>IFERROR(__xludf.DUMMYFUNCTION("""COMPUTED_VALUE"""),178.0)</f>
        <v>178</v>
      </c>
    </row>
    <row r="34">
      <c r="A34" s="2">
        <f>IFERROR(__xludf.DUMMYFUNCTION("""COMPUTED_VALUE"""),44973.66666666667)</f>
        <v>44973.66667</v>
      </c>
      <c r="B34" s="3">
        <f>IFERROR(__xludf.DUMMYFUNCTION("""COMPUTED_VALUE"""),177.0)</f>
        <v>177</v>
      </c>
    </row>
    <row r="35">
      <c r="A35" s="2">
        <f>IFERROR(__xludf.DUMMYFUNCTION("""COMPUTED_VALUE"""),44974.66666666667)</f>
        <v>44974.66667</v>
      </c>
      <c r="B35" s="3">
        <f>IFERROR(__xludf.DUMMYFUNCTION("""COMPUTED_VALUE"""),179.0)</f>
        <v>179</v>
      </c>
    </row>
    <row r="36">
      <c r="A36" s="2">
        <f>IFERROR(__xludf.DUMMYFUNCTION("""COMPUTED_VALUE"""),44977.66666666667)</f>
        <v>44977.66667</v>
      </c>
      <c r="B36" s="3">
        <f>IFERROR(__xludf.DUMMYFUNCTION("""COMPUTED_VALUE"""),177.0)</f>
        <v>177</v>
      </c>
    </row>
    <row r="37">
      <c r="A37" s="2">
        <f>IFERROR(__xludf.DUMMYFUNCTION("""COMPUTED_VALUE"""),44978.66666666667)</f>
        <v>44978.66667</v>
      </c>
      <c r="B37" s="3">
        <f>IFERROR(__xludf.DUMMYFUNCTION("""COMPUTED_VALUE"""),177.0)</f>
        <v>177</v>
      </c>
    </row>
    <row r="38">
      <c r="A38" s="2">
        <f>IFERROR(__xludf.DUMMYFUNCTION("""COMPUTED_VALUE"""),44979.66666666667)</f>
        <v>44979.66667</v>
      </c>
      <c r="B38" s="3">
        <f>IFERROR(__xludf.DUMMYFUNCTION("""COMPUTED_VALUE"""),175.0)</f>
        <v>175</v>
      </c>
    </row>
    <row r="39">
      <c r="A39" s="2">
        <f>IFERROR(__xludf.DUMMYFUNCTION("""COMPUTED_VALUE"""),44980.66666666667)</f>
        <v>44980.66667</v>
      </c>
      <c r="B39" s="3">
        <f>IFERROR(__xludf.DUMMYFUNCTION("""COMPUTED_VALUE"""),175.0)</f>
        <v>175</v>
      </c>
    </row>
    <row r="40">
      <c r="A40" s="2">
        <f>IFERROR(__xludf.DUMMYFUNCTION("""COMPUTED_VALUE"""),44981.66666666667)</f>
        <v>44981.66667</v>
      </c>
      <c r="B40" s="3">
        <f>IFERROR(__xludf.DUMMYFUNCTION("""COMPUTED_VALUE"""),174.0)</f>
        <v>174</v>
      </c>
    </row>
    <row r="41">
      <c r="A41" s="2">
        <f>IFERROR(__xludf.DUMMYFUNCTION("""COMPUTED_VALUE"""),44984.66666666667)</f>
        <v>44984.66667</v>
      </c>
      <c r="B41" s="3">
        <f>IFERROR(__xludf.DUMMYFUNCTION("""COMPUTED_VALUE"""),168.0)</f>
        <v>168</v>
      </c>
    </row>
    <row r="42">
      <c r="A42" s="2">
        <f>IFERROR(__xludf.DUMMYFUNCTION("""COMPUTED_VALUE"""),44985.66666666667)</f>
        <v>44985.66667</v>
      </c>
      <c r="B42" s="3">
        <f>IFERROR(__xludf.DUMMYFUNCTION("""COMPUTED_VALUE"""),167.0)</f>
        <v>167</v>
      </c>
    </row>
    <row r="43">
      <c r="A43" s="2">
        <f>IFERROR(__xludf.DUMMYFUNCTION("""COMPUTED_VALUE"""),44986.66666666667)</f>
        <v>44986.66667</v>
      </c>
      <c r="B43" s="3">
        <f>IFERROR(__xludf.DUMMYFUNCTION("""COMPUTED_VALUE"""),167.0)</f>
        <v>167</v>
      </c>
    </row>
    <row r="44">
      <c r="A44" s="2">
        <f>IFERROR(__xludf.DUMMYFUNCTION("""COMPUTED_VALUE"""),44987.66666666667)</f>
        <v>44987.66667</v>
      </c>
      <c r="B44" s="3">
        <f>IFERROR(__xludf.DUMMYFUNCTION("""COMPUTED_VALUE"""),170.0)</f>
        <v>170</v>
      </c>
    </row>
    <row r="45">
      <c r="A45" s="2">
        <f>IFERROR(__xludf.DUMMYFUNCTION("""COMPUTED_VALUE"""),44988.66666666667)</f>
        <v>44988.66667</v>
      </c>
      <c r="B45" s="3">
        <f>IFERROR(__xludf.DUMMYFUNCTION("""COMPUTED_VALUE"""),169.0)</f>
        <v>169</v>
      </c>
    </row>
    <row r="46">
      <c r="A46" s="2">
        <f>IFERROR(__xludf.DUMMYFUNCTION("""COMPUTED_VALUE"""),44991.66666666667)</f>
        <v>44991.66667</v>
      </c>
      <c r="B46" s="3">
        <f>IFERROR(__xludf.DUMMYFUNCTION("""COMPUTED_VALUE"""),169.0)</f>
        <v>169</v>
      </c>
    </row>
    <row r="47">
      <c r="A47" s="2">
        <f>IFERROR(__xludf.DUMMYFUNCTION("""COMPUTED_VALUE"""),44992.66666666667)</f>
        <v>44992.66667</v>
      </c>
      <c r="B47" s="3">
        <f>IFERROR(__xludf.DUMMYFUNCTION("""COMPUTED_VALUE"""),168.0)</f>
        <v>168</v>
      </c>
    </row>
    <row r="48">
      <c r="A48" s="2">
        <f>IFERROR(__xludf.DUMMYFUNCTION("""COMPUTED_VALUE"""),44993.66666666667)</f>
        <v>44993.66667</v>
      </c>
      <c r="B48" s="3">
        <f>IFERROR(__xludf.DUMMYFUNCTION("""COMPUTED_VALUE"""),170.0)</f>
        <v>170</v>
      </c>
    </row>
    <row r="49">
      <c r="A49" s="2">
        <f>IFERROR(__xludf.DUMMYFUNCTION("""COMPUTED_VALUE"""),44994.66666666667)</f>
        <v>44994.66667</v>
      </c>
      <c r="B49" s="3">
        <f>IFERROR(__xludf.DUMMYFUNCTION("""COMPUTED_VALUE"""),168.0)</f>
        <v>168</v>
      </c>
    </row>
    <row r="50">
      <c r="A50" s="2">
        <f>IFERROR(__xludf.DUMMYFUNCTION("""COMPUTED_VALUE"""),44995.66666666667)</f>
        <v>44995.66667</v>
      </c>
      <c r="B50" s="3">
        <f>IFERROR(__xludf.DUMMYFUNCTION("""COMPUTED_VALUE"""),163.0)</f>
        <v>163</v>
      </c>
    </row>
    <row r="51">
      <c r="A51" s="2">
        <f>IFERROR(__xludf.DUMMYFUNCTION("""COMPUTED_VALUE"""),44998.66666666667)</f>
        <v>44998.66667</v>
      </c>
      <c r="B51" s="3">
        <f>IFERROR(__xludf.DUMMYFUNCTION("""COMPUTED_VALUE"""),162.0)</f>
        <v>162</v>
      </c>
    </row>
    <row r="52">
      <c r="A52" s="2">
        <f>IFERROR(__xludf.DUMMYFUNCTION("""COMPUTED_VALUE"""),44999.66666666667)</f>
        <v>44999.66667</v>
      </c>
      <c r="B52" s="3">
        <f>IFERROR(__xludf.DUMMYFUNCTION("""COMPUTED_VALUE"""),151.0)</f>
        <v>151</v>
      </c>
    </row>
    <row r="53">
      <c r="A53" s="2">
        <f>IFERROR(__xludf.DUMMYFUNCTION("""COMPUTED_VALUE"""),45000.66666666667)</f>
        <v>45000.66667</v>
      </c>
      <c r="B53" s="3">
        <f>IFERROR(__xludf.DUMMYFUNCTION("""COMPUTED_VALUE"""),143.0)</f>
        <v>143</v>
      </c>
    </row>
    <row r="54">
      <c r="A54" s="2">
        <f>IFERROR(__xludf.DUMMYFUNCTION("""COMPUTED_VALUE"""),45001.66666666667)</f>
        <v>45001.66667</v>
      </c>
      <c r="B54" s="3">
        <f>IFERROR(__xludf.DUMMYFUNCTION("""COMPUTED_VALUE"""),133.0)</f>
        <v>133</v>
      </c>
    </row>
    <row r="55">
      <c r="A55" s="2">
        <f>IFERROR(__xludf.DUMMYFUNCTION("""COMPUTED_VALUE"""),45002.66666666667)</f>
        <v>45002.66667</v>
      </c>
      <c r="B55" s="3">
        <f>IFERROR(__xludf.DUMMYFUNCTION("""COMPUTED_VALUE"""),132.0)</f>
        <v>132</v>
      </c>
    </row>
    <row r="56">
      <c r="A56" s="2">
        <f>IFERROR(__xludf.DUMMYFUNCTION("""COMPUTED_VALUE"""),45005.66666666667)</f>
        <v>45005.66667</v>
      </c>
      <c r="B56" s="3">
        <f>IFERROR(__xludf.DUMMYFUNCTION("""COMPUTED_VALUE"""),133.0)</f>
        <v>133</v>
      </c>
    </row>
    <row r="57">
      <c r="A57" s="2">
        <f>IFERROR(__xludf.DUMMYFUNCTION("""COMPUTED_VALUE"""),45006.66666666667)</f>
        <v>45006.66667</v>
      </c>
      <c r="B57" s="3">
        <f>IFERROR(__xludf.DUMMYFUNCTION("""COMPUTED_VALUE"""),138.0)</f>
        <v>138</v>
      </c>
    </row>
    <row r="58">
      <c r="A58" s="2">
        <f>IFERROR(__xludf.DUMMYFUNCTION("""COMPUTED_VALUE"""),45009.66666666667)</f>
        <v>45009.66667</v>
      </c>
      <c r="B58" s="3">
        <f>IFERROR(__xludf.DUMMYFUNCTION("""COMPUTED_VALUE"""),136.0)</f>
        <v>136</v>
      </c>
    </row>
    <row r="59">
      <c r="A59" s="2">
        <f>IFERROR(__xludf.DUMMYFUNCTION("""COMPUTED_VALUE"""),45012.66666666667)</f>
        <v>45012.66667</v>
      </c>
      <c r="B59" s="3">
        <f>IFERROR(__xludf.DUMMYFUNCTION("""COMPUTED_VALUE"""),135.0)</f>
        <v>135</v>
      </c>
    </row>
    <row r="60">
      <c r="A60" s="2">
        <f>IFERROR(__xludf.DUMMYFUNCTION("""COMPUTED_VALUE"""),45013.66666666667)</f>
        <v>45013.66667</v>
      </c>
      <c r="B60" s="3">
        <f>IFERROR(__xludf.DUMMYFUNCTION("""COMPUTED_VALUE"""),136.0)</f>
        <v>136</v>
      </c>
    </row>
    <row r="61">
      <c r="A61" s="2">
        <f>IFERROR(__xludf.DUMMYFUNCTION("""COMPUTED_VALUE"""),45014.66666666667)</f>
        <v>45014.66667</v>
      </c>
      <c r="B61" s="3">
        <f>IFERROR(__xludf.DUMMYFUNCTION("""COMPUTED_VALUE"""),145.0)</f>
        <v>145</v>
      </c>
    </row>
    <row r="62">
      <c r="A62" s="2">
        <f>IFERROR(__xludf.DUMMYFUNCTION("""COMPUTED_VALUE"""),45015.66666666667)</f>
        <v>45015.66667</v>
      </c>
      <c r="B62" s="3">
        <f>IFERROR(__xludf.DUMMYFUNCTION("""COMPUTED_VALUE"""),148.0)</f>
        <v>148</v>
      </c>
    </row>
    <row r="63">
      <c r="A63" s="2">
        <f>IFERROR(__xludf.DUMMYFUNCTION("""COMPUTED_VALUE"""),45016.66666666667)</f>
        <v>45016.66667</v>
      </c>
      <c r="B63" s="3">
        <f>IFERROR(__xludf.DUMMYFUNCTION("""COMPUTED_VALUE"""),153.0)</f>
        <v>153</v>
      </c>
    </row>
    <row r="64">
      <c r="A64" s="2">
        <f>IFERROR(__xludf.DUMMYFUNCTION("""COMPUTED_VALUE"""),45019.66666666667)</f>
        <v>45019.66667</v>
      </c>
      <c r="B64" s="3">
        <f>IFERROR(__xludf.DUMMYFUNCTION("""COMPUTED_VALUE"""),147.0)</f>
        <v>147</v>
      </c>
    </row>
    <row r="65">
      <c r="A65" s="2">
        <f>IFERROR(__xludf.DUMMYFUNCTION("""COMPUTED_VALUE"""),45020.66666666667)</f>
        <v>45020.66667</v>
      </c>
      <c r="B65" s="3">
        <f>IFERROR(__xludf.DUMMYFUNCTION("""COMPUTED_VALUE"""),150.0)</f>
        <v>150</v>
      </c>
    </row>
    <row r="66">
      <c r="A66" s="2">
        <f>IFERROR(__xludf.DUMMYFUNCTION("""COMPUTED_VALUE"""),45021.66666666667)</f>
        <v>45021.66667</v>
      </c>
      <c r="B66" s="3">
        <f>IFERROR(__xludf.DUMMYFUNCTION("""COMPUTED_VALUE"""),150.0)</f>
        <v>150</v>
      </c>
    </row>
    <row r="67">
      <c r="A67" s="2">
        <f>IFERROR(__xludf.DUMMYFUNCTION("""COMPUTED_VALUE"""),45022.66666666667)</f>
        <v>45022.66667</v>
      </c>
      <c r="B67" s="3">
        <f>IFERROR(__xludf.DUMMYFUNCTION("""COMPUTED_VALUE"""),148.0)</f>
        <v>148</v>
      </c>
    </row>
    <row r="68">
      <c r="A68" s="2">
        <f>IFERROR(__xludf.DUMMYFUNCTION("""COMPUTED_VALUE"""),45026.66666666667)</f>
        <v>45026.66667</v>
      </c>
      <c r="B68" s="3">
        <f>IFERROR(__xludf.DUMMYFUNCTION("""COMPUTED_VALUE"""),144.0)</f>
        <v>144</v>
      </c>
    </row>
    <row r="69">
      <c r="A69" s="2">
        <f>IFERROR(__xludf.DUMMYFUNCTION("""COMPUTED_VALUE"""),45027.66666666667)</f>
        <v>45027.66667</v>
      </c>
      <c r="B69" s="3">
        <f>IFERROR(__xludf.DUMMYFUNCTION("""COMPUTED_VALUE"""),143.0)</f>
        <v>143</v>
      </c>
    </row>
    <row r="70">
      <c r="A70" s="2">
        <f>IFERROR(__xludf.DUMMYFUNCTION("""COMPUTED_VALUE"""),45028.66666666667)</f>
        <v>45028.66667</v>
      </c>
      <c r="B70" s="3">
        <f>IFERROR(__xludf.DUMMYFUNCTION("""COMPUTED_VALUE"""),143.0)</f>
        <v>143</v>
      </c>
    </row>
    <row r="71">
      <c r="A71" s="2">
        <f>IFERROR(__xludf.DUMMYFUNCTION("""COMPUTED_VALUE"""),45029.66666666667)</f>
        <v>45029.66667</v>
      </c>
      <c r="B71" s="3">
        <f>IFERROR(__xludf.DUMMYFUNCTION("""COMPUTED_VALUE"""),143.0)</f>
        <v>143</v>
      </c>
    </row>
    <row r="72">
      <c r="A72" s="2">
        <f>IFERROR(__xludf.DUMMYFUNCTION("""COMPUTED_VALUE"""),45030.66666666667)</f>
        <v>45030.66667</v>
      </c>
      <c r="B72" s="3">
        <f>IFERROR(__xludf.DUMMYFUNCTION("""COMPUTED_VALUE"""),140.0)</f>
        <v>140</v>
      </c>
    </row>
    <row r="73">
      <c r="A73" s="2">
        <f>IFERROR(__xludf.DUMMYFUNCTION("""COMPUTED_VALUE"""),45033.66666666667)</f>
        <v>45033.66667</v>
      </c>
      <c r="B73" s="3">
        <f>IFERROR(__xludf.DUMMYFUNCTION("""COMPUTED_VALUE"""),139.0)</f>
        <v>139</v>
      </c>
    </row>
    <row r="74">
      <c r="A74" s="2">
        <f>IFERROR(__xludf.DUMMYFUNCTION("""COMPUTED_VALUE"""),45034.66666666667)</f>
        <v>45034.66667</v>
      </c>
      <c r="B74" s="3">
        <f>IFERROR(__xludf.DUMMYFUNCTION("""COMPUTED_VALUE"""),141.0)</f>
        <v>141</v>
      </c>
    </row>
    <row r="75">
      <c r="A75" s="2">
        <f>IFERROR(__xludf.DUMMYFUNCTION("""COMPUTED_VALUE"""),45042.66666666667)</f>
        <v>45042.66667</v>
      </c>
      <c r="B75" s="3">
        <f>IFERROR(__xludf.DUMMYFUNCTION("""COMPUTED_VALUE"""),142.0)</f>
        <v>142</v>
      </c>
    </row>
    <row r="76">
      <c r="A76" s="2">
        <f>IFERROR(__xludf.DUMMYFUNCTION("""COMPUTED_VALUE"""),45043.66666666667)</f>
        <v>45043.66667</v>
      </c>
      <c r="B76" s="3">
        <f>IFERROR(__xludf.DUMMYFUNCTION("""COMPUTED_VALUE"""),140.0)</f>
        <v>140</v>
      </c>
    </row>
    <row r="77">
      <c r="A77" s="2">
        <f>IFERROR(__xludf.DUMMYFUNCTION("""COMPUTED_VALUE"""),45044.66666666667)</f>
        <v>45044.66667</v>
      </c>
      <c r="B77" s="3">
        <f>IFERROR(__xludf.DUMMYFUNCTION("""COMPUTED_VALUE"""),140.0)</f>
        <v>140</v>
      </c>
    </row>
    <row r="78">
      <c r="A78" s="2">
        <f>IFERROR(__xludf.DUMMYFUNCTION("""COMPUTED_VALUE"""),45048.66666666667)</f>
        <v>45048.66667</v>
      </c>
      <c r="B78" s="3">
        <f>IFERROR(__xludf.DUMMYFUNCTION("""COMPUTED_VALUE"""),141.0)</f>
        <v>141</v>
      </c>
    </row>
    <row r="79">
      <c r="A79" s="2">
        <f>IFERROR(__xludf.DUMMYFUNCTION("""COMPUTED_VALUE"""),45049.66666666667)</f>
        <v>45049.66667</v>
      </c>
      <c r="B79" s="3">
        <f>IFERROR(__xludf.DUMMYFUNCTION("""COMPUTED_VALUE"""),141.0)</f>
        <v>141</v>
      </c>
    </row>
    <row r="80">
      <c r="A80" s="2">
        <f>IFERROR(__xludf.DUMMYFUNCTION("""COMPUTED_VALUE"""),45050.66666666667)</f>
        <v>45050.66667</v>
      </c>
      <c r="B80" s="3">
        <f>IFERROR(__xludf.DUMMYFUNCTION("""COMPUTED_VALUE"""),140.0)</f>
        <v>140</v>
      </c>
    </row>
    <row r="81">
      <c r="A81" s="2">
        <f>IFERROR(__xludf.DUMMYFUNCTION("""COMPUTED_VALUE"""),45051.66666666667)</f>
        <v>45051.66667</v>
      </c>
      <c r="B81" s="3">
        <f>IFERROR(__xludf.DUMMYFUNCTION("""COMPUTED_VALUE"""),140.0)</f>
        <v>140</v>
      </c>
    </row>
    <row r="82">
      <c r="A82" s="2">
        <f>IFERROR(__xludf.DUMMYFUNCTION("""COMPUTED_VALUE"""),45054.66666666667)</f>
        <v>45054.66667</v>
      </c>
      <c r="B82" s="3">
        <f>IFERROR(__xludf.DUMMYFUNCTION("""COMPUTED_VALUE"""),141.0)</f>
        <v>141</v>
      </c>
    </row>
    <row r="83">
      <c r="A83" s="2">
        <f>IFERROR(__xludf.DUMMYFUNCTION("""COMPUTED_VALUE"""),45055.66666666667)</f>
        <v>45055.66667</v>
      </c>
      <c r="B83" s="3">
        <f>IFERROR(__xludf.DUMMYFUNCTION("""COMPUTED_VALUE"""),141.0)</f>
        <v>141</v>
      </c>
    </row>
    <row r="84">
      <c r="A84" s="2">
        <f>IFERROR(__xludf.DUMMYFUNCTION("""COMPUTED_VALUE"""),45056.66666666667)</f>
        <v>45056.66667</v>
      </c>
      <c r="B84" s="3">
        <f>IFERROR(__xludf.DUMMYFUNCTION("""COMPUTED_VALUE"""),143.0)</f>
        <v>143</v>
      </c>
    </row>
    <row r="85">
      <c r="A85" s="2">
        <f>IFERROR(__xludf.DUMMYFUNCTION("""COMPUTED_VALUE"""),45057.66666666667)</f>
        <v>45057.66667</v>
      </c>
      <c r="B85" s="3">
        <f>IFERROR(__xludf.DUMMYFUNCTION("""COMPUTED_VALUE"""),149.0)</f>
        <v>149</v>
      </c>
    </row>
    <row r="86">
      <c r="A86" s="2">
        <f>IFERROR(__xludf.DUMMYFUNCTION("""COMPUTED_VALUE"""),45058.66666666667)</f>
        <v>45058.66667</v>
      </c>
      <c r="B86" s="3">
        <f>IFERROR(__xludf.DUMMYFUNCTION("""COMPUTED_VALUE"""),146.0)</f>
        <v>146</v>
      </c>
    </row>
    <row r="87">
      <c r="A87" s="2">
        <f>IFERROR(__xludf.DUMMYFUNCTION("""COMPUTED_VALUE"""),45061.66666666667)</f>
        <v>45061.66667</v>
      </c>
      <c r="B87" s="3">
        <f>IFERROR(__xludf.DUMMYFUNCTION("""COMPUTED_VALUE"""),146.0)</f>
        <v>146</v>
      </c>
    </row>
    <row r="88">
      <c r="A88" s="2">
        <f>IFERROR(__xludf.DUMMYFUNCTION("""COMPUTED_VALUE"""),45062.66666666667)</f>
        <v>45062.66667</v>
      </c>
      <c r="B88" s="3">
        <f>IFERROR(__xludf.DUMMYFUNCTION("""COMPUTED_VALUE"""),147.0)</f>
        <v>147</v>
      </c>
    </row>
    <row r="89">
      <c r="A89" s="2">
        <f>IFERROR(__xludf.DUMMYFUNCTION("""COMPUTED_VALUE"""),45063.66666666667)</f>
        <v>45063.66667</v>
      </c>
      <c r="B89" s="3">
        <f>IFERROR(__xludf.DUMMYFUNCTION("""COMPUTED_VALUE"""),144.0)</f>
        <v>144</v>
      </c>
    </row>
    <row r="90">
      <c r="A90" s="2">
        <f>IFERROR(__xludf.DUMMYFUNCTION("""COMPUTED_VALUE"""),45065.66666666667)</f>
        <v>45065.66667</v>
      </c>
      <c r="B90" s="3">
        <f>IFERROR(__xludf.DUMMYFUNCTION("""COMPUTED_VALUE"""),143.0)</f>
        <v>143</v>
      </c>
    </row>
    <row r="91">
      <c r="A91" s="2">
        <f>IFERROR(__xludf.DUMMYFUNCTION("""COMPUTED_VALUE"""),45068.66666666667)</f>
        <v>45068.66667</v>
      </c>
      <c r="B91" s="3">
        <f>IFERROR(__xludf.DUMMYFUNCTION("""COMPUTED_VALUE"""),148.0)</f>
        <v>148</v>
      </c>
    </row>
    <row r="92">
      <c r="A92" s="2">
        <f>IFERROR(__xludf.DUMMYFUNCTION("""COMPUTED_VALUE"""),45069.66666666667)</f>
        <v>45069.66667</v>
      </c>
      <c r="B92" s="3">
        <f>IFERROR(__xludf.DUMMYFUNCTION("""COMPUTED_VALUE"""),148.0)</f>
        <v>148</v>
      </c>
    </row>
    <row r="93">
      <c r="A93" s="2">
        <f>IFERROR(__xludf.DUMMYFUNCTION("""COMPUTED_VALUE"""),45070.66666666667)</f>
        <v>45070.66667</v>
      </c>
      <c r="B93" s="3">
        <f>IFERROR(__xludf.DUMMYFUNCTION("""COMPUTED_VALUE"""),148.0)</f>
        <v>148</v>
      </c>
    </row>
    <row r="94">
      <c r="A94" s="2">
        <f>IFERROR(__xludf.DUMMYFUNCTION("""COMPUTED_VALUE"""),45071.66666666667)</f>
        <v>45071.66667</v>
      </c>
      <c r="B94" s="3">
        <f>IFERROR(__xludf.DUMMYFUNCTION("""COMPUTED_VALUE"""),150.0)</f>
        <v>150</v>
      </c>
    </row>
    <row r="95">
      <c r="A95" s="2">
        <f>IFERROR(__xludf.DUMMYFUNCTION("""COMPUTED_VALUE"""),45072.66666666667)</f>
        <v>45072.66667</v>
      </c>
      <c r="B95" s="3">
        <f>IFERROR(__xludf.DUMMYFUNCTION("""COMPUTED_VALUE"""),152.0)</f>
        <v>152</v>
      </c>
    </row>
    <row r="96">
      <c r="A96" s="2">
        <f>IFERROR(__xludf.DUMMYFUNCTION("""COMPUTED_VALUE"""),45075.66666666667)</f>
        <v>45075.66667</v>
      </c>
      <c r="B96" s="3">
        <f>IFERROR(__xludf.DUMMYFUNCTION("""COMPUTED_VALUE"""),152.0)</f>
        <v>152</v>
      </c>
    </row>
    <row r="97">
      <c r="A97" s="2">
        <f>IFERROR(__xludf.DUMMYFUNCTION("""COMPUTED_VALUE"""),45076.66666666667)</f>
        <v>45076.66667</v>
      </c>
      <c r="B97" s="3">
        <f>IFERROR(__xludf.DUMMYFUNCTION("""COMPUTED_VALUE"""),160.0)</f>
        <v>160</v>
      </c>
    </row>
    <row r="98">
      <c r="A98" s="2">
        <f>IFERROR(__xludf.DUMMYFUNCTION("""COMPUTED_VALUE"""),45077.66666666667)</f>
        <v>45077.66667</v>
      </c>
      <c r="B98" s="3">
        <f>IFERROR(__xludf.DUMMYFUNCTION("""COMPUTED_VALUE"""),150.0)</f>
        <v>150</v>
      </c>
    </row>
    <row r="99">
      <c r="A99" s="2">
        <f>IFERROR(__xludf.DUMMYFUNCTION("""COMPUTED_VALUE"""),45082.66666666667)</f>
        <v>45082.66667</v>
      </c>
      <c r="B99" s="3">
        <f>IFERROR(__xludf.DUMMYFUNCTION("""COMPUTED_VALUE"""),151.0)</f>
        <v>151</v>
      </c>
    </row>
    <row r="100">
      <c r="A100" s="2">
        <f>IFERROR(__xludf.DUMMYFUNCTION("""COMPUTED_VALUE"""),45083.66666666667)</f>
        <v>45083.66667</v>
      </c>
      <c r="B100" s="3">
        <f>IFERROR(__xludf.DUMMYFUNCTION("""COMPUTED_VALUE"""),149.0)</f>
        <v>149</v>
      </c>
    </row>
    <row r="101">
      <c r="A101" s="2">
        <f>IFERROR(__xludf.DUMMYFUNCTION("""COMPUTED_VALUE"""),45084.66666666667)</f>
        <v>45084.66667</v>
      </c>
      <c r="B101" s="3">
        <f>IFERROR(__xludf.DUMMYFUNCTION("""COMPUTED_VALUE"""),154.0)</f>
        <v>154</v>
      </c>
    </row>
    <row r="102">
      <c r="A102" s="2">
        <f>IFERROR(__xludf.DUMMYFUNCTION("""COMPUTED_VALUE"""),45085.66666666667)</f>
        <v>45085.66667</v>
      </c>
      <c r="B102" s="3">
        <f>IFERROR(__xludf.DUMMYFUNCTION("""COMPUTED_VALUE"""),155.0)</f>
        <v>155</v>
      </c>
    </row>
    <row r="103">
      <c r="A103" s="2">
        <f>IFERROR(__xludf.DUMMYFUNCTION("""COMPUTED_VALUE"""),45086.66666666667)</f>
        <v>45086.66667</v>
      </c>
      <c r="B103" s="3">
        <f>IFERROR(__xludf.DUMMYFUNCTION("""COMPUTED_VALUE"""),154.0)</f>
        <v>154</v>
      </c>
    </row>
    <row r="104">
      <c r="A104" s="2">
        <f>IFERROR(__xludf.DUMMYFUNCTION("""COMPUTED_VALUE"""),45089.66666666667)</f>
        <v>45089.66667</v>
      </c>
      <c r="B104" s="3">
        <f>IFERROR(__xludf.DUMMYFUNCTION("""COMPUTED_VALUE"""),156.0)</f>
        <v>156</v>
      </c>
    </row>
    <row r="105">
      <c r="A105" s="2">
        <f>IFERROR(__xludf.DUMMYFUNCTION("""COMPUTED_VALUE"""),45090.66666666667)</f>
        <v>45090.66667</v>
      </c>
      <c r="B105" s="3">
        <f>IFERROR(__xludf.DUMMYFUNCTION("""COMPUTED_VALUE"""),154.0)</f>
        <v>154</v>
      </c>
    </row>
    <row r="106">
      <c r="A106" s="2">
        <f>IFERROR(__xludf.DUMMYFUNCTION("""COMPUTED_VALUE"""),45091.66666666667)</f>
        <v>45091.66667</v>
      </c>
      <c r="B106" s="3">
        <f>IFERROR(__xludf.DUMMYFUNCTION("""COMPUTED_VALUE"""),158.0)</f>
        <v>158</v>
      </c>
    </row>
    <row r="107">
      <c r="A107" s="2">
        <f>IFERROR(__xludf.DUMMYFUNCTION("""COMPUTED_VALUE"""),45092.66666666667)</f>
        <v>45092.66667</v>
      </c>
      <c r="B107" s="3">
        <f>IFERROR(__xludf.DUMMYFUNCTION("""COMPUTED_VALUE"""),155.0)</f>
        <v>155</v>
      </c>
    </row>
    <row r="108">
      <c r="A108" s="2">
        <f>IFERROR(__xludf.DUMMYFUNCTION("""COMPUTED_VALUE"""),45093.66666666667)</f>
        <v>45093.66667</v>
      </c>
      <c r="B108" s="3">
        <f>IFERROR(__xludf.DUMMYFUNCTION("""COMPUTED_VALUE"""),157.0)</f>
        <v>157</v>
      </c>
    </row>
    <row r="109">
      <c r="A109" s="2">
        <f>IFERROR(__xludf.DUMMYFUNCTION("""COMPUTED_VALUE"""),45096.66666666667)</f>
        <v>45096.66667</v>
      </c>
      <c r="B109" s="3">
        <f>IFERROR(__xludf.DUMMYFUNCTION("""COMPUTED_VALUE"""),156.0)</f>
        <v>156</v>
      </c>
    </row>
    <row r="110">
      <c r="A110" s="2">
        <f>IFERROR(__xludf.DUMMYFUNCTION("""COMPUTED_VALUE"""),45097.66666666667)</f>
        <v>45097.66667</v>
      </c>
      <c r="B110" s="3">
        <f>IFERROR(__xludf.DUMMYFUNCTION("""COMPUTED_VALUE"""),155.0)</f>
        <v>155</v>
      </c>
    </row>
    <row r="111">
      <c r="A111" s="2">
        <f>IFERROR(__xludf.DUMMYFUNCTION("""COMPUTED_VALUE"""),45098.66666666667)</f>
        <v>45098.66667</v>
      </c>
      <c r="B111" s="3">
        <f>IFERROR(__xludf.DUMMYFUNCTION("""COMPUTED_VALUE"""),155.0)</f>
        <v>155</v>
      </c>
    </row>
    <row r="112">
      <c r="A112" s="2">
        <f>IFERROR(__xludf.DUMMYFUNCTION("""COMPUTED_VALUE"""),45099.66666666667)</f>
        <v>45099.66667</v>
      </c>
      <c r="B112" s="3">
        <f>IFERROR(__xludf.DUMMYFUNCTION("""COMPUTED_VALUE"""),157.0)</f>
        <v>157</v>
      </c>
    </row>
    <row r="113">
      <c r="A113" s="2">
        <f>IFERROR(__xludf.DUMMYFUNCTION("""COMPUTED_VALUE"""),45100.66666666667)</f>
        <v>45100.66667</v>
      </c>
      <c r="B113" s="3">
        <f>IFERROR(__xludf.DUMMYFUNCTION("""COMPUTED_VALUE"""),155.0)</f>
        <v>155</v>
      </c>
    </row>
    <row r="114">
      <c r="A114" s="2">
        <f>IFERROR(__xludf.DUMMYFUNCTION("""COMPUTED_VALUE"""),45103.66666666667)</f>
        <v>45103.66667</v>
      </c>
      <c r="B114" s="3">
        <f>IFERROR(__xludf.DUMMYFUNCTION("""COMPUTED_VALUE"""),154.0)</f>
        <v>154</v>
      </c>
    </row>
    <row r="115">
      <c r="A115" s="2">
        <f>IFERROR(__xludf.DUMMYFUNCTION("""COMPUTED_VALUE"""),45104.66666666667)</f>
        <v>45104.66667</v>
      </c>
      <c r="B115" s="3">
        <f>IFERROR(__xludf.DUMMYFUNCTION("""COMPUTED_VALUE"""),155.0)</f>
        <v>155</v>
      </c>
    </row>
    <row r="116">
      <c r="A116" s="2">
        <f>IFERROR(__xludf.DUMMYFUNCTION("""COMPUTED_VALUE"""),45110.66666666667)</f>
        <v>45110.66667</v>
      </c>
      <c r="B116" s="3">
        <f>IFERROR(__xludf.DUMMYFUNCTION("""COMPUTED_VALUE"""),157.0)</f>
        <v>157</v>
      </c>
    </row>
    <row r="117">
      <c r="A117" s="2">
        <f>IFERROR(__xludf.DUMMYFUNCTION("""COMPUTED_VALUE"""),45111.66666666667)</f>
        <v>45111.66667</v>
      </c>
      <c r="B117" s="3">
        <f>IFERROR(__xludf.DUMMYFUNCTION("""COMPUTED_VALUE"""),157.0)</f>
        <v>157</v>
      </c>
    </row>
    <row r="118">
      <c r="A118" s="2">
        <f>IFERROR(__xludf.DUMMYFUNCTION("""COMPUTED_VALUE"""),45112.66666666667)</f>
        <v>45112.66667</v>
      </c>
      <c r="B118" s="3">
        <f>IFERROR(__xludf.DUMMYFUNCTION("""COMPUTED_VALUE"""),156.0)</f>
        <v>156</v>
      </c>
    </row>
    <row r="119">
      <c r="A119" s="2">
        <f>IFERROR(__xludf.DUMMYFUNCTION("""COMPUTED_VALUE"""),45113.66666666667)</f>
        <v>45113.66667</v>
      </c>
      <c r="B119" s="3">
        <f>IFERROR(__xludf.DUMMYFUNCTION("""COMPUTED_VALUE"""),169.0)</f>
        <v>169</v>
      </c>
    </row>
    <row r="120">
      <c r="A120" s="2">
        <f>IFERROR(__xludf.DUMMYFUNCTION("""COMPUTED_VALUE"""),45114.66666666667)</f>
        <v>45114.66667</v>
      </c>
      <c r="B120" s="3">
        <f>IFERROR(__xludf.DUMMYFUNCTION("""COMPUTED_VALUE"""),167.0)</f>
        <v>167</v>
      </c>
    </row>
    <row r="121">
      <c r="A121" s="2">
        <f>IFERROR(__xludf.DUMMYFUNCTION("""COMPUTED_VALUE"""),45117.66666666667)</f>
        <v>45117.66667</v>
      </c>
      <c r="B121" s="3">
        <f>IFERROR(__xludf.DUMMYFUNCTION("""COMPUTED_VALUE"""),173.0)</f>
        <v>173</v>
      </c>
    </row>
    <row r="122">
      <c r="A122" s="2">
        <f>IFERROR(__xludf.DUMMYFUNCTION("""COMPUTED_VALUE"""),45118.66666666667)</f>
        <v>45118.66667</v>
      </c>
      <c r="B122" s="3">
        <f>IFERROR(__xludf.DUMMYFUNCTION("""COMPUTED_VALUE"""),173.0)</f>
        <v>173</v>
      </c>
    </row>
    <row r="123">
      <c r="A123" s="2">
        <f>IFERROR(__xludf.DUMMYFUNCTION("""COMPUTED_VALUE"""),45119.66666666667)</f>
        <v>45119.66667</v>
      </c>
      <c r="B123" s="3">
        <f>IFERROR(__xludf.DUMMYFUNCTION("""COMPUTED_VALUE"""),176.0)</f>
        <v>176</v>
      </c>
    </row>
    <row r="124">
      <c r="A124" s="2">
        <f>IFERROR(__xludf.DUMMYFUNCTION("""COMPUTED_VALUE"""),45120.66666666667)</f>
        <v>45120.66667</v>
      </c>
      <c r="B124" s="3">
        <f>IFERROR(__xludf.DUMMYFUNCTION("""COMPUTED_VALUE"""),176.0)</f>
        <v>176</v>
      </c>
    </row>
    <row r="125">
      <c r="A125" s="2">
        <f>IFERROR(__xludf.DUMMYFUNCTION("""COMPUTED_VALUE"""),45121.66666666667)</f>
        <v>45121.66667</v>
      </c>
      <c r="B125" s="3">
        <f>IFERROR(__xludf.DUMMYFUNCTION("""COMPUTED_VALUE"""),173.0)</f>
        <v>173</v>
      </c>
    </row>
    <row r="126">
      <c r="A126" s="2">
        <f>IFERROR(__xludf.DUMMYFUNCTION("""COMPUTED_VALUE"""),45124.66666666667)</f>
        <v>45124.66667</v>
      </c>
      <c r="B126" s="3">
        <f>IFERROR(__xludf.DUMMYFUNCTION("""COMPUTED_VALUE"""),170.0)</f>
        <v>170</v>
      </c>
    </row>
    <row r="127">
      <c r="A127" s="2">
        <f>IFERROR(__xludf.DUMMYFUNCTION("""COMPUTED_VALUE"""),45125.66666666667)</f>
        <v>45125.66667</v>
      </c>
      <c r="B127" s="3">
        <f>IFERROR(__xludf.DUMMYFUNCTION("""COMPUTED_VALUE"""),168.0)</f>
        <v>168</v>
      </c>
    </row>
    <row r="128">
      <c r="A128" s="2">
        <f>IFERROR(__xludf.DUMMYFUNCTION("""COMPUTED_VALUE"""),45127.66666666667)</f>
        <v>45127.66667</v>
      </c>
      <c r="B128" s="3">
        <f>IFERROR(__xludf.DUMMYFUNCTION("""COMPUTED_VALUE"""),172.0)</f>
        <v>172</v>
      </c>
    </row>
    <row r="129">
      <c r="A129" s="2">
        <f>IFERROR(__xludf.DUMMYFUNCTION("""COMPUTED_VALUE"""),45128.66666666667)</f>
        <v>45128.66667</v>
      </c>
      <c r="B129" s="3">
        <f>IFERROR(__xludf.DUMMYFUNCTION("""COMPUTED_VALUE"""),170.0)</f>
        <v>170</v>
      </c>
    </row>
    <row r="130">
      <c r="A130" s="2">
        <f>IFERROR(__xludf.DUMMYFUNCTION("""COMPUTED_VALUE"""),45131.66666666667)</f>
        <v>45131.66667</v>
      </c>
      <c r="B130" s="3">
        <f>IFERROR(__xludf.DUMMYFUNCTION("""COMPUTED_VALUE"""),173.0)</f>
        <v>173</v>
      </c>
    </row>
    <row r="131">
      <c r="A131" s="2">
        <f>IFERROR(__xludf.DUMMYFUNCTION("""COMPUTED_VALUE"""),45132.66666666667)</f>
        <v>45132.66667</v>
      </c>
      <c r="B131" s="3">
        <f>IFERROR(__xludf.DUMMYFUNCTION("""COMPUTED_VALUE"""),179.0)</f>
        <v>179</v>
      </c>
    </row>
    <row r="132">
      <c r="A132" s="2">
        <f>IFERROR(__xludf.DUMMYFUNCTION("""COMPUTED_VALUE"""),45133.66666666667)</f>
        <v>45133.66667</v>
      </c>
      <c r="B132" s="3">
        <f>IFERROR(__xludf.DUMMYFUNCTION("""COMPUTED_VALUE"""),190.0)</f>
        <v>190</v>
      </c>
    </row>
    <row r="133">
      <c r="A133" s="2">
        <f>IFERROR(__xludf.DUMMYFUNCTION("""COMPUTED_VALUE"""),45134.66666666667)</f>
        <v>45134.66667</v>
      </c>
      <c r="B133" s="3">
        <f>IFERROR(__xludf.DUMMYFUNCTION("""COMPUTED_VALUE"""),183.0)</f>
        <v>183</v>
      </c>
    </row>
    <row r="134">
      <c r="A134" s="2">
        <f>IFERROR(__xludf.DUMMYFUNCTION("""COMPUTED_VALUE"""),45135.66666666667)</f>
        <v>45135.66667</v>
      </c>
      <c r="B134" s="3">
        <f>IFERROR(__xludf.DUMMYFUNCTION("""COMPUTED_VALUE"""),187.0)</f>
        <v>187</v>
      </c>
    </row>
    <row r="135">
      <c r="A135" s="2">
        <f>IFERROR(__xludf.DUMMYFUNCTION("""COMPUTED_VALUE"""),45138.66666666667)</f>
        <v>45138.66667</v>
      </c>
      <c r="B135" s="3">
        <f>IFERROR(__xludf.DUMMYFUNCTION("""COMPUTED_VALUE"""),186.0)</f>
        <v>186</v>
      </c>
    </row>
    <row r="136">
      <c r="A136" s="2">
        <f>IFERROR(__xludf.DUMMYFUNCTION("""COMPUTED_VALUE"""),45139.66666666667)</f>
        <v>45139.66667</v>
      </c>
      <c r="B136" s="3">
        <f>IFERROR(__xludf.DUMMYFUNCTION("""COMPUTED_VALUE"""),184.0)</f>
        <v>184</v>
      </c>
    </row>
    <row r="137">
      <c r="A137" s="2">
        <f>IFERROR(__xludf.DUMMYFUNCTION("""COMPUTED_VALUE"""),45140.66666666667)</f>
        <v>45140.66667</v>
      </c>
      <c r="B137" s="3">
        <f>IFERROR(__xludf.DUMMYFUNCTION("""COMPUTED_VALUE"""),184.0)</f>
        <v>184</v>
      </c>
    </row>
    <row r="138">
      <c r="A138" s="2">
        <f>IFERROR(__xludf.DUMMYFUNCTION("""COMPUTED_VALUE"""),45141.66666666667)</f>
        <v>45141.66667</v>
      </c>
      <c r="B138" s="3">
        <f>IFERROR(__xludf.DUMMYFUNCTION("""COMPUTED_VALUE"""),184.0)</f>
        <v>184</v>
      </c>
    </row>
    <row r="139">
      <c r="A139" s="2">
        <f>IFERROR(__xludf.DUMMYFUNCTION("""COMPUTED_VALUE"""),45142.66666666667)</f>
        <v>45142.66667</v>
      </c>
      <c r="B139" s="3">
        <f>IFERROR(__xludf.DUMMYFUNCTION("""COMPUTED_VALUE"""),184.0)</f>
        <v>184</v>
      </c>
    </row>
    <row r="140">
      <c r="A140" s="2">
        <f>IFERROR(__xludf.DUMMYFUNCTION("""COMPUTED_VALUE"""),45145.66666666667)</f>
        <v>45145.66667</v>
      </c>
      <c r="B140" s="3">
        <f>IFERROR(__xludf.DUMMYFUNCTION("""COMPUTED_VALUE"""),183.0)</f>
        <v>183</v>
      </c>
    </row>
    <row r="141">
      <c r="A141" s="2">
        <f>IFERROR(__xludf.DUMMYFUNCTION("""COMPUTED_VALUE"""),45146.66666666667)</f>
        <v>45146.66667</v>
      </c>
      <c r="B141" s="3">
        <f>IFERROR(__xludf.DUMMYFUNCTION("""COMPUTED_VALUE"""),180.0)</f>
        <v>180</v>
      </c>
    </row>
    <row r="142">
      <c r="A142" s="2">
        <f>IFERROR(__xludf.DUMMYFUNCTION("""COMPUTED_VALUE"""),45147.66666666667)</f>
        <v>45147.66667</v>
      </c>
      <c r="B142" s="3">
        <f>IFERROR(__xludf.DUMMYFUNCTION("""COMPUTED_VALUE"""),175.0)</f>
        <v>175</v>
      </c>
    </row>
    <row r="143">
      <c r="A143" s="2">
        <f>IFERROR(__xludf.DUMMYFUNCTION("""COMPUTED_VALUE"""),45148.66666666667)</f>
        <v>45148.66667</v>
      </c>
      <c r="B143" s="3">
        <f>IFERROR(__xludf.DUMMYFUNCTION("""COMPUTED_VALUE"""),177.0)</f>
        <v>177</v>
      </c>
    </row>
    <row r="144">
      <c r="A144" s="2">
        <f>IFERROR(__xludf.DUMMYFUNCTION("""COMPUTED_VALUE"""),45149.66666666667)</f>
        <v>45149.66667</v>
      </c>
      <c r="B144" s="3">
        <f>IFERROR(__xludf.DUMMYFUNCTION("""COMPUTED_VALUE"""),173.0)</f>
        <v>173</v>
      </c>
    </row>
    <row r="145">
      <c r="A145" s="2">
        <f>IFERROR(__xludf.DUMMYFUNCTION("""COMPUTED_VALUE"""),45152.66666666667)</f>
        <v>45152.66667</v>
      </c>
      <c r="B145" s="3">
        <f>IFERROR(__xludf.DUMMYFUNCTION("""COMPUTED_VALUE"""),170.0)</f>
        <v>170</v>
      </c>
    </row>
    <row r="146">
      <c r="A146" s="2">
        <f>IFERROR(__xludf.DUMMYFUNCTION("""COMPUTED_VALUE"""),45153.66666666667)</f>
        <v>45153.66667</v>
      </c>
      <c r="B146" s="3">
        <f>IFERROR(__xludf.DUMMYFUNCTION("""COMPUTED_VALUE"""),175.0)</f>
        <v>175</v>
      </c>
    </row>
    <row r="147">
      <c r="A147" s="2">
        <f>IFERROR(__xludf.DUMMYFUNCTION("""COMPUTED_VALUE"""),45154.66666666667)</f>
        <v>45154.66667</v>
      </c>
      <c r="B147" s="3">
        <f>IFERROR(__xludf.DUMMYFUNCTION("""COMPUTED_VALUE"""),174.0)</f>
        <v>174</v>
      </c>
    </row>
    <row r="148">
      <c r="A148" s="2">
        <f>IFERROR(__xludf.DUMMYFUNCTION("""COMPUTED_VALUE"""),45156.66666666667)</f>
        <v>45156.66667</v>
      </c>
      <c r="B148" s="3">
        <f>IFERROR(__xludf.DUMMYFUNCTION("""COMPUTED_VALUE"""),170.0)</f>
        <v>170</v>
      </c>
    </row>
    <row r="149">
      <c r="A149" s="2">
        <f>IFERROR(__xludf.DUMMYFUNCTION("""COMPUTED_VALUE"""),45159.66666666667)</f>
        <v>45159.66667</v>
      </c>
      <c r="B149" s="3">
        <f>IFERROR(__xludf.DUMMYFUNCTION("""COMPUTED_VALUE"""),169.0)</f>
        <v>169</v>
      </c>
    </row>
    <row r="150">
      <c r="A150" s="2">
        <f>IFERROR(__xludf.DUMMYFUNCTION("""COMPUTED_VALUE"""),45160.66666666667)</f>
        <v>45160.66667</v>
      </c>
      <c r="B150" s="3">
        <f>IFERROR(__xludf.DUMMYFUNCTION("""COMPUTED_VALUE"""),163.0)</f>
        <v>163</v>
      </c>
    </row>
    <row r="151">
      <c r="A151" s="2">
        <f>IFERROR(__xludf.DUMMYFUNCTION("""COMPUTED_VALUE"""),45161.66666666667)</f>
        <v>45161.66667</v>
      </c>
      <c r="B151" s="3">
        <f>IFERROR(__xludf.DUMMYFUNCTION("""COMPUTED_VALUE"""),166.0)</f>
        <v>166</v>
      </c>
    </row>
    <row r="152">
      <c r="A152" s="2">
        <f>IFERROR(__xludf.DUMMYFUNCTION("""COMPUTED_VALUE"""),45162.66666666667)</f>
        <v>45162.66667</v>
      </c>
      <c r="B152" s="3">
        <f>IFERROR(__xludf.DUMMYFUNCTION("""COMPUTED_VALUE"""),161.0)</f>
        <v>161</v>
      </c>
    </row>
    <row r="153">
      <c r="A153" s="2">
        <f>IFERROR(__xludf.DUMMYFUNCTION("""COMPUTED_VALUE"""),45163.66666666667)</f>
        <v>45163.66667</v>
      </c>
      <c r="B153" s="3">
        <f>IFERROR(__xludf.DUMMYFUNCTION("""COMPUTED_VALUE"""),160.0)</f>
        <v>160</v>
      </c>
    </row>
    <row r="154">
      <c r="A154" s="2">
        <f>IFERROR(__xludf.DUMMYFUNCTION("""COMPUTED_VALUE"""),45166.66666666667)</f>
        <v>45166.66667</v>
      </c>
      <c r="B154" s="3">
        <f>IFERROR(__xludf.DUMMYFUNCTION("""COMPUTED_VALUE"""),155.0)</f>
        <v>155</v>
      </c>
    </row>
    <row r="155">
      <c r="A155" s="2">
        <f>IFERROR(__xludf.DUMMYFUNCTION("""COMPUTED_VALUE"""),45167.66666666667)</f>
        <v>45167.66667</v>
      </c>
      <c r="B155" s="3">
        <f>IFERROR(__xludf.DUMMYFUNCTION("""COMPUTED_VALUE"""),153.0)</f>
        <v>153</v>
      </c>
    </row>
    <row r="156">
      <c r="A156" s="2">
        <f>IFERROR(__xludf.DUMMYFUNCTION("""COMPUTED_VALUE"""),45168.66666666667)</f>
        <v>45168.66667</v>
      </c>
      <c r="B156" s="3">
        <f>IFERROR(__xludf.DUMMYFUNCTION("""COMPUTED_VALUE"""),159.0)</f>
        <v>159</v>
      </c>
    </row>
    <row r="157">
      <c r="A157" s="2">
        <f>IFERROR(__xludf.DUMMYFUNCTION("""COMPUTED_VALUE"""),45169.66666666667)</f>
        <v>45169.66667</v>
      </c>
      <c r="B157" s="3">
        <f>IFERROR(__xludf.DUMMYFUNCTION("""COMPUTED_VALUE"""),155.0)</f>
        <v>155</v>
      </c>
    </row>
    <row r="158">
      <c r="A158" s="2">
        <f>IFERROR(__xludf.DUMMYFUNCTION("""COMPUTED_VALUE"""),45170.66666666667)</f>
        <v>45170.66667</v>
      </c>
      <c r="B158" s="3">
        <f>IFERROR(__xludf.DUMMYFUNCTION("""COMPUTED_VALUE"""),164.0)</f>
        <v>164</v>
      </c>
    </row>
    <row r="159">
      <c r="A159" s="2">
        <f>IFERROR(__xludf.DUMMYFUNCTION("""COMPUTED_VALUE"""),45173.66666666667)</f>
        <v>45173.66667</v>
      </c>
      <c r="B159" s="3">
        <f>IFERROR(__xludf.DUMMYFUNCTION("""COMPUTED_VALUE"""),158.0)</f>
        <v>158</v>
      </c>
    </row>
    <row r="160">
      <c r="A160" s="2">
        <f>IFERROR(__xludf.DUMMYFUNCTION("""COMPUTED_VALUE"""),45174.66666666667)</f>
        <v>45174.66667</v>
      </c>
      <c r="B160" s="3">
        <f>IFERROR(__xludf.DUMMYFUNCTION("""COMPUTED_VALUE"""),155.0)</f>
        <v>155</v>
      </c>
    </row>
    <row r="161">
      <c r="A161" s="2">
        <f>IFERROR(__xludf.DUMMYFUNCTION("""COMPUTED_VALUE"""),45175.66666666667)</f>
        <v>45175.66667</v>
      </c>
      <c r="B161" s="3">
        <f>IFERROR(__xludf.DUMMYFUNCTION("""COMPUTED_VALUE"""),190.0)</f>
        <v>190</v>
      </c>
    </row>
    <row r="162">
      <c r="A162" s="2">
        <f>IFERROR(__xludf.DUMMYFUNCTION("""COMPUTED_VALUE"""),45176.66666666667)</f>
        <v>45176.66667</v>
      </c>
      <c r="B162" s="3">
        <f>IFERROR(__xludf.DUMMYFUNCTION("""COMPUTED_VALUE"""),256.0)</f>
        <v>256</v>
      </c>
    </row>
    <row r="163">
      <c r="A163" s="2">
        <f>IFERROR(__xludf.DUMMYFUNCTION("""COMPUTED_VALUE"""),45177.66666666667)</f>
        <v>45177.66667</v>
      </c>
      <c r="B163" s="3">
        <f>IFERROR(__xludf.DUMMYFUNCTION("""COMPUTED_VALUE"""),238.0)</f>
        <v>238</v>
      </c>
    </row>
    <row r="164">
      <c r="A164" s="2">
        <f>IFERROR(__xludf.DUMMYFUNCTION("""COMPUTED_VALUE"""),45180.66666666667)</f>
        <v>45180.66667</v>
      </c>
      <c r="B164" s="3">
        <f>IFERROR(__xludf.DUMMYFUNCTION("""COMPUTED_VALUE"""),246.0)</f>
        <v>246</v>
      </c>
    </row>
    <row r="165">
      <c r="A165" s="2">
        <f>IFERROR(__xludf.DUMMYFUNCTION("""COMPUTED_VALUE"""),45181.66666666667)</f>
        <v>45181.66667</v>
      </c>
      <c r="B165" s="3">
        <f>IFERROR(__xludf.DUMMYFUNCTION("""COMPUTED_VALUE"""),258.0)</f>
        <v>258</v>
      </c>
    </row>
    <row r="166">
      <c r="A166" s="2">
        <f>IFERROR(__xludf.DUMMYFUNCTION("""COMPUTED_VALUE"""),45182.66666666667)</f>
        <v>45182.66667</v>
      </c>
      <c r="B166" s="3">
        <f>IFERROR(__xludf.DUMMYFUNCTION("""COMPUTED_VALUE"""),294.0)</f>
        <v>294</v>
      </c>
    </row>
    <row r="167">
      <c r="A167" s="2">
        <f>IFERROR(__xludf.DUMMYFUNCTION("""COMPUTED_VALUE"""),45184.66666666667)</f>
        <v>45184.66667</v>
      </c>
      <c r="B167" s="3">
        <f>IFERROR(__xludf.DUMMYFUNCTION("""COMPUTED_VALUE"""),304.0)</f>
        <v>304</v>
      </c>
    </row>
    <row r="168">
      <c r="A168" s="2">
        <f>IFERROR(__xludf.DUMMYFUNCTION("""COMPUTED_VALUE"""),45187.66666666667)</f>
        <v>45187.66667</v>
      </c>
      <c r="B168" s="3">
        <f>IFERROR(__xludf.DUMMYFUNCTION("""COMPUTED_VALUE"""),310.0)</f>
        <v>310</v>
      </c>
    </row>
    <row r="169">
      <c r="A169" s="2">
        <f>IFERROR(__xludf.DUMMYFUNCTION("""COMPUTED_VALUE"""),45188.66666666667)</f>
        <v>45188.66667</v>
      </c>
      <c r="B169" s="3">
        <f>IFERROR(__xludf.DUMMYFUNCTION("""COMPUTED_VALUE"""),294.0)</f>
        <v>294</v>
      </c>
    </row>
    <row r="170">
      <c r="A170" s="2">
        <f>IFERROR(__xludf.DUMMYFUNCTION("""COMPUTED_VALUE"""),45189.66666666667)</f>
        <v>45189.66667</v>
      </c>
      <c r="B170" s="3">
        <f>IFERROR(__xludf.DUMMYFUNCTION("""COMPUTED_VALUE"""),260.0)</f>
        <v>260</v>
      </c>
    </row>
    <row r="171">
      <c r="A171" s="2">
        <f>IFERROR(__xludf.DUMMYFUNCTION("""COMPUTED_VALUE"""),45190.66666666667)</f>
        <v>45190.66667</v>
      </c>
      <c r="B171" s="3">
        <f>IFERROR(__xludf.DUMMYFUNCTION("""COMPUTED_VALUE"""),248.0)</f>
        <v>248</v>
      </c>
    </row>
    <row r="172">
      <c r="A172" s="2">
        <f>IFERROR(__xludf.DUMMYFUNCTION("""COMPUTED_VALUE"""),45191.66666666667)</f>
        <v>45191.66667</v>
      </c>
      <c r="B172" s="3">
        <f>IFERROR(__xludf.DUMMYFUNCTION("""COMPUTED_VALUE"""),246.0)</f>
        <v>246</v>
      </c>
    </row>
    <row r="173">
      <c r="A173" s="2">
        <f>IFERROR(__xludf.DUMMYFUNCTION("""COMPUTED_VALUE"""),45194.66666666667)</f>
        <v>45194.66667</v>
      </c>
      <c r="B173" s="3">
        <f>IFERROR(__xludf.DUMMYFUNCTION("""COMPUTED_VALUE"""),248.0)</f>
        <v>248</v>
      </c>
    </row>
    <row r="174">
      <c r="A174" s="2">
        <f>IFERROR(__xludf.DUMMYFUNCTION("""COMPUTED_VALUE"""),45195.66666666667)</f>
        <v>45195.66667</v>
      </c>
      <c r="B174" s="3">
        <f>IFERROR(__xludf.DUMMYFUNCTION("""COMPUTED_VALUE"""),228.0)</f>
        <v>228</v>
      </c>
    </row>
    <row r="175">
      <c r="A175" s="2">
        <f>IFERROR(__xludf.DUMMYFUNCTION("""COMPUTED_VALUE"""),45196.66666666667)</f>
        <v>45196.66667</v>
      </c>
      <c r="B175" s="3">
        <f>IFERROR(__xludf.DUMMYFUNCTION("""COMPUTED_VALUE"""),228.0)</f>
        <v>228</v>
      </c>
    </row>
    <row r="176">
      <c r="A176" s="2">
        <f>IFERROR(__xludf.DUMMYFUNCTION("""COMPUTED_VALUE"""),45198.66666666667)</f>
        <v>45198.66667</v>
      </c>
      <c r="B176" s="3">
        <f>IFERROR(__xludf.DUMMYFUNCTION("""COMPUTED_VALUE"""),230.0)</f>
        <v>230</v>
      </c>
    </row>
    <row r="177">
      <c r="A177" s="2">
        <f>IFERROR(__xludf.DUMMYFUNCTION("""COMPUTED_VALUE"""),45201.66666666667)</f>
        <v>45201.66667</v>
      </c>
      <c r="B177" s="3">
        <f>IFERROR(__xludf.DUMMYFUNCTION("""COMPUTED_VALUE"""),222.0)</f>
        <v>222</v>
      </c>
    </row>
    <row r="178">
      <c r="A178" s="2">
        <f>IFERROR(__xludf.DUMMYFUNCTION("""COMPUTED_VALUE"""),45202.66666666667)</f>
        <v>45202.66667</v>
      </c>
      <c r="B178" s="3">
        <f>IFERROR(__xludf.DUMMYFUNCTION("""COMPUTED_VALUE"""),214.0)</f>
        <v>214</v>
      </c>
    </row>
    <row r="179">
      <c r="A179" s="2">
        <f>IFERROR(__xludf.DUMMYFUNCTION("""COMPUTED_VALUE"""),45203.66666666667)</f>
        <v>45203.66667</v>
      </c>
      <c r="B179" s="3">
        <f>IFERROR(__xludf.DUMMYFUNCTION("""COMPUTED_VALUE"""),202.0)</f>
        <v>202</v>
      </c>
    </row>
    <row r="180">
      <c r="A180" s="2">
        <f>IFERROR(__xludf.DUMMYFUNCTION("""COMPUTED_VALUE"""),45204.66666666667)</f>
        <v>45204.66667</v>
      </c>
      <c r="B180" s="3">
        <f>IFERROR(__xludf.DUMMYFUNCTION("""COMPUTED_VALUE"""),214.0)</f>
        <v>214</v>
      </c>
    </row>
    <row r="181">
      <c r="A181" s="2">
        <f>IFERROR(__xludf.DUMMYFUNCTION("""COMPUTED_VALUE"""),45205.66666666667)</f>
        <v>45205.66667</v>
      </c>
      <c r="B181" s="3">
        <f>IFERROR(__xludf.DUMMYFUNCTION("""COMPUTED_VALUE"""),212.0)</f>
        <v>212</v>
      </c>
    </row>
    <row r="182">
      <c r="A182" s="2">
        <f>IFERROR(__xludf.DUMMYFUNCTION("""COMPUTED_VALUE"""),45208.66666666667)</f>
        <v>45208.66667</v>
      </c>
      <c r="B182" s="3">
        <f>IFERROR(__xludf.DUMMYFUNCTION("""COMPUTED_VALUE"""),264.0)</f>
        <v>264</v>
      </c>
    </row>
    <row r="183">
      <c r="A183" s="2">
        <f>IFERROR(__xludf.DUMMYFUNCTION("""COMPUTED_VALUE"""),45209.66666666667)</f>
        <v>45209.66667</v>
      </c>
      <c r="B183" s="3">
        <f>IFERROR(__xludf.DUMMYFUNCTION("""COMPUTED_VALUE"""),254.0)</f>
        <v>254</v>
      </c>
    </row>
    <row r="184">
      <c r="A184" s="2">
        <f>IFERROR(__xludf.DUMMYFUNCTION("""COMPUTED_VALUE"""),45210.66666666667)</f>
        <v>45210.66667</v>
      </c>
      <c r="B184" s="3">
        <f>IFERROR(__xludf.DUMMYFUNCTION("""COMPUTED_VALUE"""),258.0)</f>
        <v>258</v>
      </c>
    </row>
    <row r="185">
      <c r="A185" s="2">
        <f>IFERROR(__xludf.DUMMYFUNCTION("""COMPUTED_VALUE"""),45211.66666666667)</f>
        <v>45211.66667</v>
      </c>
      <c r="B185" s="3">
        <f>IFERROR(__xludf.DUMMYFUNCTION("""COMPUTED_VALUE"""),234.0)</f>
        <v>234</v>
      </c>
    </row>
    <row r="186">
      <c r="A186" s="2">
        <f>IFERROR(__xludf.DUMMYFUNCTION("""COMPUTED_VALUE"""),45212.66666666667)</f>
        <v>45212.66667</v>
      </c>
      <c r="B186" s="3">
        <f>IFERROR(__xludf.DUMMYFUNCTION("""COMPUTED_VALUE"""),248.0)</f>
        <v>248</v>
      </c>
    </row>
    <row r="187">
      <c r="A187" s="2">
        <f>IFERROR(__xludf.DUMMYFUNCTION("""COMPUTED_VALUE"""),45215.66666666667)</f>
        <v>45215.66667</v>
      </c>
      <c r="B187" s="3">
        <f>IFERROR(__xludf.DUMMYFUNCTION("""COMPUTED_VALUE"""),242.0)</f>
        <v>242</v>
      </c>
    </row>
    <row r="188">
      <c r="A188" s="2">
        <f>IFERROR(__xludf.DUMMYFUNCTION("""COMPUTED_VALUE"""),45216.66666666667)</f>
        <v>45216.66667</v>
      </c>
      <c r="B188" s="3">
        <f>IFERROR(__xludf.DUMMYFUNCTION("""COMPUTED_VALUE"""),238.0)</f>
        <v>238</v>
      </c>
    </row>
    <row r="189">
      <c r="A189" s="2">
        <f>IFERROR(__xludf.DUMMYFUNCTION("""COMPUTED_VALUE"""),45217.66666666667)</f>
        <v>45217.66667</v>
      </c>
      <c r="B189" s="3">
        <f>IFERROR(__xludf.DUMMYFUNCTION("""COMPUTED_VALUE"""),240.0)</f>
        <v>240</v>
      </c>
    </row>
    <row r="190">
      <c r="A190" s="2">
        <f>IFERROR(__xludf.DUMMYFUNCTION("""COMPUTED_VALUE"""),45218.66666666667)</f>
        <v>45218.66667</v>
      </c>
      <c r="B190" s="3">
        <f>IFERROR(__xludf.DUMMYFUNCTION("""COMPUTED_VALUE"""),230.0)</f>
        <v>230</v>
      </c>
    </row>
    <row r="191">
      <c r="A191" s="2">
        <f>IFERROR(__xludf.DUMMYFUNCTION("""COMPUTED_VALUE"""),45219.66666666667)</f>
        <v>45219.66667</v>
      </c>
      <c r="B191" s="3">
        <f>IFERROR(__xludf.DUMMYFUNCTION("""COMPUTED_VALUE"""),236.0)</f>
        <v>236</v>
      </c>
    </row>
    <row r="192">
      <c r="A192" s="2">
        <f>IFERROR(__xludf.DUMMYFUNCTION("""COMPUTED_VALUE"""),45222.66666666667)</f>
        <v>45222.66667</v>
      </c>
      <c r="B192" s="3">
        <f>IFERROR(__xludf.DUMMYFUNCTION("""COMPUTED_VALUE"""),224.0)</f>
        <v>224</v>
      </c>
    </row>
    <row r="193">
      <c r="A193" s="2">
        <f>IFERROR(__xludf.DUMMYFUNCTION("""COMPUTED_VALUE"""),45223.66666666667)</f>
        <v>45223.66667</v>
      </c>
      <c r="B193" s="3">
        <f>IFERROR(__xludf.DUMMYFUNCTION("""COMPUTED_VALUE"""),228.0)</f>
        <v>228</v>
      </c>
    </row>
    <row r="194">
      <c r="A194" s="2">
        <f>IFERROR(__xludf.DUMMYFUNCTION("""COMPUTED_VALUE"""),45224.66666666667)</f>
        <v>45224.66667</v>
      </c>
      <c r="B194" s="3">
        <f>IFERROR(__xludf.DUMMYFUNCTION("""COMPUTED_VALUE"""),222.0)</f>
        <v>222</v>
      </c>
    </row>
    <row r="195">
      <c r="A195" s="2">
        <f>IFERROR(__xludf.DUMMYFUNCTION("""COMPUTED_VALUE"""),45225.66666666667)</f>
        <v>45225.66667</v>
      </c>
      <c r="B195" s="3">
        <f>IFERROR(__xludf.DUMMYFUNCTION("""COMPUTED_VALUE"""),228.0)</f>
        <v>228</v>
      </c>
    </row>
    <row r="196">
      <c r="A196" s="2">
        <f>IFERROR(__xludf.DUMMYFUNCTION("""COMPUTED_VALUE"""),45226.66666666667)</f>
        <v>45226.66667</v>
      </c>
      <c r="B196" s="3">
        <f>IFERROR(__xludf.DUMMYFUNCTION("""COMPUTED_VALUE"""),240.0)</f>
        <v>240</v>
      </c>
    </row>
    <row r="197">
      <c r="A197" s="2">
        <f>IFERROR(__xludf.DUMMYFUNCTION("""COMPUTED_VALUE"""),45229.66666666667)</f>
        <v>45229.66667</v>
      </c>
      <c r="B197" s="3">
        <f>IFERROR(__xludf.DUMMYFUNCTION("""COMPUTED_VALUE"""),232.0)</f>
        <v>232</v>
      </c>
    </row>
    <row r="198">
      <c r="A198" s="2">
        <f>IFERROR(__xludf.DUMMYFUNCTION("""COMPUTED_VALUE"""),45230.66666666667)</f>
        <v>45230.66667</v>
      </c>
      <c r="B198" s="3">
        <f>IFERROR(__xludf.DUMMYFUNCTION("""COMPUTED_VALUE"""),208.0)</f>
        <v>208</v>
      </c>
    </row>
    <row r="199">
      <c r="A199" s="2">
        <f>IFERROR(__xludf.DUMMYFUNCTION("""COMPUTED_VALUE"""),45231.66666666667)</f>
        <v>45231.66667</v>
      </c>
      <c r="B199" s="3">
        <f>IFERROR(__xludf.DUMMYFUNCTION("""COMPUTED_VALUE"""),202.0)</f>
        <v>202</v>
      </c>
    </row>
    <row r="200">
      <c r="A200" s="2">
        <f>IFERROR(__xludf.DUMMYFUNCTION("""COMPUTED_VALUE"""),45232.66666666667)</f>
        <v>45232.66667</v>
      </c>
      <c r="B200" s="3">
        <f>IFERROR(__xludf.DUMMYFUNCTION("""COMPUTED_VALUE"""),204.0)</f>
        <v>204</v>
      </c>
    </row>
    <row r="201">
      <c r="A201" s="2">
        <f>IFERROR(__xludf.DUMMYFUNCTION("""COMPUTED_VALUE"""),45233.66666666667)</f>
        <v>45233.66667</v>
      </c>
      <c r="B201" s="3">
        <f>IFERROR(__xludf.DUMMYFUNCTION("""COMPUTED_VALUE"""),202.0)</f>
        <v>202</v>
      </c>
    </row>
    <row r="202">
      <c r="A202" s="2">
        <f>IFERROR(__xludf.DUMMYFUNCTION("""COMPUTED_VALUE"""),45236.66666666667)</f>
        <v>45236.66667</v>
      </c>
      <c r="B202" s="3">
        <f>IFERROR(__xludf.DUMMYFUNCTION("""COMPUTED_VALUE"""),206.0)</f>
        <v>206</v>
      </c>
    </row>
    <row r="203">
      <c r="A203" s="2">
        <f>IFERROR(__xludf.DUMMYFUNCTION("""COMPUTED_VALUE"""),45237.66666666667)</f>
        <v>45237.66667</v>
      </c>
      <c r="B203" s="3">
        <f>IFERROR(__xludf.DUMMYFUNCTION("""COMPUTED_VALUE"""),218.0)</f>
        <v>218</v>
      </c>
    </row>
    <row r="204">
      <c r="A204" s="2">
        <f>IFERROR(__xludf.DUMMYFUNCTION("""COMPUTED_VALUE"""),45238.66666666667)</f>
        <v>45238.66667</v>
      </c>
      <c r="B204" s="3">
        <f>IFERROR(__xludf.DUMMYFUNCTION("""COMPUTED_VALUE"""),214.0)</f>
        <v>214</v>
      </c>
    </row>
    <row r="205">
      <c r="A205" s="2">
        <f>IFERROR(__xludf.DUMMYFUNCTION("""COMPUTED_VALUE"""),45239.66666666667)</f>
        <v>45239.66667</v>
      </c>
      <c r="B205" s="3">
        <f>IFERROR(__xludf.DUMMYFUNCTION("""COMPUTED_VALUE"""),218.0)</f>
        <v>218</v>
      </c>
    </row>
    <row r="206">
      <c r="A206" s="2">
        <f>IFERROR(__xludf.DUMMYFUNCTION("""COMPUTED_VALUE"""),45240.66666666667)</f>
        <v>45240.66667</v>
      </c>
      <c r="B206" s="3">
        <f>IFERROR(__xludf.DUMMYFUNCTION("""COMPUTED_VALUE"""),208.0)</f>
        <v>208</v>
      </c>
    </row>
    <row r="207">
      <c r="A207" s="2">
        <f>IFERROR(__xludf.DUMMYFUNCTION("""COMPUTED_VALUE"""),45243.66666666667)</f>
        <v>45243.66667</v>
      </c>
      <c r="B207" s="3">
        <f>IFERROR(__xludf.DUMMYFUNCTION("""COMPUTED_VALUE"""),206.0)</f>
        <v>206</v>
      </c>
    </row>
    <row r="208">
      <c r="A208" s="2">
        <f>IFERROR(__xludf.DUMMYFUNCTION("""COMPUTED_VALUE"""),45244.66666666667)</f>
        <v>45244.66667</v>
      </c>
      <c r="B208" s="3">
        <f>IFERROR(__xludf.DUMMYFUNCTION("""COMPUTED_VALUE"""),204.0)</f>
        <v>204</v>
      </c>
    </row>
    <row r="209">
      <c r="A209" s="2">
        <f>IFERROR(__xludf.DUMMYFUNCTION("""COMPUTED_VALUE"""),45245.66666666667)</f>
        <v>45245.66667</v>
      </c>
      <c r="B209" s="3">
        <f>IFERROR(__xludf.DUMMYFUNCTION("""COMPUTED_VALUE"""),218.0)</f>
        <v>218</v>
      </c>
    </row>
    <row r="210">
      <c r="A210" s="2">
        <f>IFERROR(__xludf.DUMMYFUNCTION("""COMPUTED_VALUE"""),45246.66666666667)</f>
        <v>45246.66667</v>
      </c>
      <c r="B210" s="3">
        <f>IFERROR(__xludf.DUMMYFUNCTION("""COMPUTED_VALUE"""),214.0)</f>
        <v>214</v>
      </c>
    </row>
    <row r="211">
      <c r="A211" s="2">
        <f>IFERROR(__xludf.DUMMYFUNCTION("""COMPUTED_VALUE"""),45247.66666666667)</f>
        <v>45247.66667</v>
      </c>
      <c r="B211" s="3">
        <f>IFERROR(__xludf.DUMMYFUNCTION("""COMPUTED_VALUE"""),208.0)</f>
        <v>208</v>
      </c>
    </row>
    <row r="212">
      <c r="A212" s="2">
        <f>IFERROR(__xludf.DUMMYFUNCTION("""COMPUTED_VALUE"""),45250.66666666667)</f>
        <v>45250.66667</v>
      </c>
      <c r="B212" s="3">
        <f>IFERROR(__xludf.DUMMYFUNCTION("""COMPUTED_VALUE"""),214.0)</f>
        <v>214</v>
      </c>
    </row>
    <row r="213">
      <c r="A213" s="2">
        <f>IFERROR(__xludf.DUMMYFUNCTION("""COMPUTED_VALUE"""),45251.66666666667)</f>
        <v>45251.66667</v>
      </c>
      <c r="B213" s="3">
        <f>IFERROR(__xludf.DUMMYFUNCTION("""COMPUTED_VALUE"""),210.0)</f>
        <v>210</v>
      </c>
    </row>
    <row r="214">
      <c r="A214" s="2">
        <f>IFERROR(__xludf.DUMMYFUNCTION("""COMPUTED_VALUE"""),45252.66666666667)</f>
        <v>45252.66667</v>
      </c>
      <c r="B214" s="3">
        <f>IFERROR(__xludf.DUMMYFUNCTION("""COMPUTED_VALUE"""),208.0)</f>
        <v>208</v>
      </c>
    </row>
    <row r="215">
      <c r="A215" s="2">
        <f>IFERROR(__xludf.DUMMYFUNCTION("""COMPUTED_VALUE"""),45253.66666666667)</f>
        <v>45253.66667</v>
      </c>
      <c r="B215" s="3">
        <f>IFERROR(__xludf.DUMMYFUNCTION("""COMPUTED_VALUE"""),208.0)</f>
        <v>208</v>
      </c>
    </row>
    <row r="216">
      <c r="A216" s="2">
        <f>IFERROR(__xludf.DUMMYFUNCTION("""COMPUTED_VALUE"""),45254.66666666667)</f>
        <v>45254.66667</v>
      </c>
      <c r="B216" s="3">
        <f>IFERROR(__xludf.DUMMYFUNCTION("""COMPUTED_VALUE"""),206.0)</f>
        <v>206</v>
      </c>
    </row>
    <row r="217">
      <c r="A217" s="2">
        <f>IFERROR(__xludf.DUMMYFUNCTION("""COMPUTED_VALUE"""),45257.66666666667)</f>
        <v>45257.66667</v>
      </c>
      <c r="B217" s="3">
        <f>IFERROR(__xludf.DUMMYFUNCTION("""COMPUTED_VALUE"""),208.0)</f>
        <v>208</v>
      </c>
    </row>
    <row r="218">
      <c r="A218" s="2">
        <f>IFERROR(__xludf.DUMMYFUNCTION("""COMPUTED_VALUE"""),45258.66666666667)</f>
        <v>45258.66667</v>
      </c>
      <c r="B218" s="3">
        <f>IFERROR(__xludf.DUMMYFUNCTION("""COMPUTED_VALUE"""),212.0)</f>
        <v>212</v>
      </c>
    </row>
    <row r="219">
      <c r="A219" s="2">
        <f>IFERROR(__xludf.DUMMYFUNCTION("""COMPUTED_VALUE"""),45259.66666666667)</f>
        <v>45259.66667</v>
      </c>
      <c r="B219" s="3">
        <f>IFERROR(__xludf.DUMMYFUNCTION("""COMPUTED_VALUE"""),210.0)</f>
        <v>210</v>
      </c>
    </row>
    <row r="220">
      <c r="A220" s="2">
        <f>IFERROR(__xludf.DUMMYFUNCTION("""COMPUTED_VALUE"""),45260.66666666667)</f>
        <v>45260.66667</v>
      </c>
      <c r="B220" s="3">
        <f>IFERROR(__xludf.DUMMYFUNCTION("""COMPUTED_VALUE"""),208.0)</f>
        <v>208</v>
      </c>
    </row>
    <row r="221">
      <c r="A221" s="2">
        <f>IFERROR(__xludf.DUMMYFUNCTION("""COMPUTED_VALUE"""),45261.66666666667)</f>
        <v>45261.66667</v>
      </c>
      <c r="B221" s="3">
        <f>IFERROR(__xludf.DUMMYFUNCTION("""COMPUTED_VALUE"""),204.0)</f>
        <v>204</v>
      </c>
    </row>
    <row r="222">
      <c r="A222" s="2">
        <f>IFERROR(__xludf.DUMMYFUNCTION("""COMPUTED_VALUE"""),45264.66666666667)</f>
        <v>45264.66667</v>
      </c>
      <c r="B222" s="3">
        <f>IFERROR(__xludf.DUMMYFUNCTION("""COMPUTED_VALUE"""),193.0)</f>
        <v>193</v>
      </c>
    </row>
    <row r="223">
      <c r="A223" s="2">
        <f>IFERROR(__xludf.DUMMYFUNCTION("""COMPUTED_VALUE"""),45265.66666666667)</f>
        <v>45265.66667</v>
      </c>
      <c r="B223" s="3">
        <f>IFERROR(__xludf.DUMMYFUNCTION("""COMPUTED_VALUE"""),188.0)</f>
        <v>188</v>
      </c>
    </row>
    <row r="224">
      <c r="A224" s="2">
        <f>IFERROR(__xludf.DUMMYFUNCTION("""COMPUTED_VALUE"""),45266.66666666667)</f>
        <v>45266.66667</v>
      </c>
      <c r="B224" s="3">
        <f>IFERROR(__xludf.DUMMYFUNCTION("""COMPUTED_VALUE"""),181.0)</f>
        <v>181</v>
      </c>
    </row>
    <row r="225">
      <c r="A225" s="2">
        <f>IFERROR(__xludf.DUMMYFUNCTION("""COMPUTED_VALUE"""),45267.66666666667)</f>
        <v>45267.66667</v>
      </c>
      <c r="B225" s="3">
        <f>IFERROR(__xludf.DUMMYFUNCTION("""COMPUTED_VALUE"""),168.0)</f>
        <v>168</v>
      </c>
    </row>
    <row r="226">
      <c r="A226" s="2">
        <f>IFERROR(__xludf.DUMMYFUNCTION("""COMPUTED_VALUE"""),45268.66666666667)</f>
        <v>45268.66667</v>
      </c>
      <c r="B226" s="3">
        <f>IFERROR(__xludf.DUMMYFUNCTION("""COMPUTED_VALUE"""),170.0)</f>
        <v>170</v>
      </c>
    </row>
    <row r="227">
      <c r="A227" s="2">
        <f>IFERROR(__xludf.DUMMYFUNCTION("""COMPUTED_VALUE"""),45271.66666666667)</f>
        <v>45271.66667</v>
      </c>
      <c r="B227" s="3">
        <f>IFERROR(__xludf.DUMMYFUNCTION("""COMPUTED_VALUE"""),163.0)</f>
        <v>163</v>
      </c>
    </row>
    <row r="228">
      <c r="A228" s="2">
        <f>IFERROR(__xludf.DUMMYFUNCTION("""COMPUTED_VALUE"""),45272.66666666667)</f>
        <v>45272.66667</v>
      </c>
      <c r="B228" s="3">
        <f>IFERROR(__xludf.DUMMYFUNCTION("""COMPUTED_VALUE"""),168.0)</f>
        <v>168</v>
      </c>
    </row>
    <row r="229">
      <c r="A229" s="2">
        <f>IFERROR(__xludf.DUMMYFUNCTION("""COMPUTED_VALUE"""),45273.66666666667)</f>
        <v>45273.66667</v>
      </c>
      <c r="B229" s="3">
        <f>IFERROR(__xludf.DUMMYFUNCTION("""COMPUTED_VALUE"""),162.0)</f>
        <v>162</v>
      </c>
    </row>
    <row r="230">
      <c r="A230" s="2">
        <f>IFERROR(__xludf.DUMMYFUNCTION("""COMPUTED_VALUE"""),45274.66666666667)</f>
        <v>45274.66667</v>
      </c>
      <c r="B230" s="3">
        <f>IFERROR(__xludf.DUMMYFUNCTION("""COMPUTED_VALUE"""),164.0)</f>
        <v>164</v>
      </c>
    </row>
    <row r="231">
      <c r="A231" s="2">
        <f>IFERROR(__xludf.DUMMYFUNCTION("""COMPUTED_VALUE"""),45275.66666666667)</f>
        <v>45275.66667</v>
      </c>
      <c r="B231" s="3">
        <f>IFERROR(__xludf.DUMMYFUNCTION("""COMPUTED_VALUE"""),170.0)</f>
        <v>170</v>
      </c>
    </row>
    <row r="232">
      <c r="A232" s="2">
        <f>IFERROR(__xludf.DUMMYFUNCTION("""COMPUTED_VALUE"""),45278.66666666667)</f>
        <v>45278.66667</v>
      </c>
      <c r="B232" s="3">
        <f>IFERROR(__xludf.DUMMYFUNCTION("""COMPUTED_VALUE"""),162.0)</f>
        <v>162</v>
      </c>
    </row>
    <row r="233">
      <c r="A233" s="2">
        <f>IFERROR(__xludf.DUMMYFUNCTION("""COMPUTED_VALUE"""),45279.66666666667)</f>
        <v>45279.66667</v>
      </c>
      <c r="B233" s="3">
        <f>IFERROR(__xludf.DUMMYFUNCTION("""COMPUTED_VALUE"""),167.0)</f>
        <v>167</v>
      </c>
    </row>
    <row r="234">
      <c r="A234" s="2">
        <f>IFERROR(__xludf.DUMMYFUNCTION("""COMPUTED_VALUE"""),45280.66666666667)</f>
        <v>45280.66667</v>
      </c>
      <c r="B234" s="3">
        <f>IFERROR(__xludf.DUMMYFUNCTION("""COMPUTED_VALUE"""),172.0)</f>
        <v>172</v>
      </c>
    </row>
    <row r="235">
      <c r="A235" s="2">
        <f>IFERROR(__xludf.DUMMYFUNCTION("""COMPUTED_VALUE"""),45281.66666666667)</f>
        <v>45281.66667</v>
      </c>
      <c r="B235" s="3">
        <f>IFERROR(__xludf.DUMMYFUNCTION("""COMPUTED_VALUE"""),168.0)</f>
        <v>168</v>
      </c>
    </row>
    <row r="236">
      <c r="A236" s="2">
        <f>IFERROR(__xludf.DUMMYFUNCTION("""COMPUTED_VALUE"""),45282.66666666667)</f>
        <v>45282.66667</v>
      </c>
      <c r="B236" s="3">
        <f>IFERROR(__xludf.DUMMYFUNCTION("""COMPUTED_VALUE"""),169.0)</f>
        <v>169</v>
      </c>
    </row>
    <row r="237">
      <c r="A237" s="2">
        <f>IFERROR(__xludf.DUMMYFUNCTION("""COMPUTED_VALUE"""),45287.66666666667)</f>
        <v>45287.66667</v>
      </c>
      <c r="B237" s="3">
        <f>IFERROR(__xludf.DUMMYFUNCTION("""COMPUTED_VALUE"""),169.0)</f>
        <v>169</v>
      </c>
    </row>
    <row r="238">
      <c r="A238" s="2">
        <f>IFERROR(__xludf.DUMMYFUNCTION("""COMPUTED_VALUE"""),45288.66666666667)</f>
        <v>45288.66667</v>
      </c>
      <c r="B238" s="3">
        <f>IFERROR(__xludf.DUMMYFUNCTION("""COMPUTED_VALUE"""),167.0)</f>
        <v>167</v>
      </c>
    </row>
    <row r="239">
      <c r="A239" s="2">
        <f>IFERROR(__xludf.DUMMYFUNCTION("""COMPUTED_VALUE"""),45289.66666666667)</f>
        <v>45289.66667</v>
      </c>
      <c r="B239" s="3">
        <f>IFERROR(__xludf.DUMMYFUNCTION("""COMPUTED_VALUE"""),166.0)</f>
        <v>166</v>
      </c>
    </row>
    <row r="240">
      <c r="A240" s="2">
        <f>IFERROR(__xludf.DUMMYFUNCTION("""COMPUTED_VALUE"""),45293.66666666667)</f>
        <v>45293.66667</v>
      </c>
      <c r="B240" s="3">
        <f>IFERROR(__xludf.DUMMYFUNCTION("""COMPUTED_VALUE"""),168.0)</f>
        <v>168</v>
      </c>
    </row>
    <row r="241">
      <c r="A241" s="2">
        <f>IFERROR(__xludf.DUMMYFUNCTION("""COMPUTED_VALUE"""),45294.66666666667)</f>
        <v>45294.66667</v>
      </c>
      <c r="B241" s="3">
        <f>IFERROR(__xludf.DUMMYFUNCTION("""COMPUTED_VALUE"""),167.0)</f>
        <v>167</v>
      </c>
    </row>
    <row r="242">
      <c r="A242" s="2">
        <f>IFERROR(__xludf.DUMMYFUNCTION("""COMPUTED_VALUE"""),45295.66666666667)</f>
        <v>45295.66667</v>
      </c>
      <c r="B242" s="3">
        <f>IFERROR(__xludf.DUMMYFUNCTION("""COMPUTED_VALUE"""),224.0)</f>
        <v>224</v>
      </c>
    </row>
    <row r="243">
      <c r="A243" s="2">
        <f>IFERROR(__xludf.DUMMYFUNCTION("""COMPUTED_VALUE"""),45296.66666666667)</f>
        <v>45296.66667</v>
      </c>
      <c r="B243" s="3">
        <f>IFERROR(__xludf.DUMMYFUNCTION("""COMPUTED_VALUE"""),193.0)</f>
        <v>193</v>
      </c>
    </row>
    <row r="244">
      <c r="A244" s="2">
        <f>IFERROR(__xludf.DUMMYFUNCTION("""COMPUTED_VALUE"""),45299.66666666667)</f>
        <v>45299.66667</v>
      </c>
      <c r="B244" s="3">
        <f>IFERROR(__xludf.DUMMYFUNCTION("""COMPUTED_VALUE"""),204.0)</f>
        <v>204</v>
      </c>
    </row>
    <row r="245">
      <c r="A245" s="2">
        <f>IFERROR(__xludf.DUMMYFUNCTION("""COMPUTED_VALUE"""),45300.66666666667)</f>
        <v>45300.66667</v>
      </c>
      <c r="B245" s="3">
        <f>IFERROR(__xludf.DUMMYFUNCTION("""COMPUTED_VALUE"""),191.0)</f>
        <v>191</v>
      </c>
    </row>
    <row r="246">
      <c r="A246" s="2">
        <f>IFERROR(__xludf.DUMMYFUNCTION("""COMPUTED_VALUE"""),45301.66666666667)</f>
        <v>45301.66667</v>
      </c>
      <c r="B246" s="3">
        <f>IFERROR(__xludf.DUMMYFUNCTION("""COMPUTED_VALUE"""),193.0)</f>
        <v>193</v>
      </c>
    </row>
    <row r="247">
      <c r="A247" s="2">
        <f>IFERROR(__xludf.DUMMYFUNCTION("""COMPUTED_VALUE"""),45302.66666666667)</f>
        <v>45302.66667</v>
      </c>
      <c r="B247" s="3">
        <f>IFERROR(__xludf.DUMMYFUNCTION("""COMPUTED_VALUE"""),189.0)</f>
        <v>189</v>
      </c>
    </row>
    <row r="248">
      <c r="A248" s="2">
        <f>IFERROR(__xludf.DUMMYFUNCTION("""COMPUTED_VALUE"""),45303.66666666667)</f>
        <v>45303.66667</v>
      </c>
      <c r="B248" s="3">
        <f>IFERROR(__xludf.DUMMYFUNCTION("""COMPUTED_VALUE"""),196.0)</f>
        <v>196</v>
      </c>
    </row>
    <row r="249">
      <c r="A249" s="2">
        <f>IFERROR(__xludf.DUMMYFUNCTION("""COMPUTED_VALUE"""),45306.66666666667)</f>
        <v>45306.66667</v>
      </c>
      <c r="B249" s="3">
        <f>IFERROR(__xludf.DUMMYFUNCTION("""COMPUTED_VALUE"""),194.0)</f>
        <v>194</v>
      </c>
    </row>
    <row r="250">
      <c r="A250" s="2">
        <f>IFERROR(__xludf.DUMMYFUNCTION("""COMPUTED_VALUE"""),45307.66666666667)</f>
        <v>45307.66667</v>
      </c>
      <c r="B250" s="3">
        <f>IFERROR(__xludf.DUMMYFUNCTION("""COMPUTED_VALUE"""),190.0)</f>
        <v>190</v>
      </c>
    </row>
    <row r="251">
      <c r="A251" s="2">
        <f>IFERROR(__xludf.DUMMYFUNCTION("""COMPUTED_VALUE"""),45308.66666666667)</f>
        <v>45308.66667</v>
      </c>
      <c r="B251" s="3">
        <f>IFERROR(__xludf.DUMMYFUNCTION("""COMPUTED_VALUE"""),190.0)</f>
        <v>190</v>
      </c>
    </row>
    <row r="252">
      <c r="A252" s="2">
        <f>IFERROR(__xludf.DUMMYFUNCTION("""COMPUTED_VALUE"""),45309.66666666667)</f>
        <v>45309.66667</v>
      </c>
      <c r="B252" s="3">
        <f>IFERROR(__xludf.DUMMYFUNCTION("""COMPUTED_VALUE"""),189.0)</f>
        <v>189</v>
      </c>
    </row>
    <row r="253">
      <c r="A253" s="2">
        <f>IFERROR(__xludf.DUMMYFUNCTION("""COMPUTED_VALUE"""),45310.66666666667)</f>
        <v>45310.66667</v>
      </c>
      <c r="B253" s="3">
        <f>IFERROR(__xludf.DUMMYFUNCTION("""COMPUTED_VALUE"""),189.0)</f>
        <v>189</v>
      </c>
    </row>
    <row r="254">
      <c r="A254" s="2">
        <f>IFERROR(__xludf.DUMMYFUNCTION("""COMPUTED_VALUE"""),45313.66666666667)</f>
        <v>45313.66667</v>
      </c>
      <c r="B254" s="3">
        <f>IFERROR(__xludf.DUMMYFUNCTION("""COMPUTED_VALUE"""),183.0)</f>
        <v>183</v>
      </c>
    </row>
    <row r="255">
      <c r="A255" s="2">
        <f>IFERROR(__xludf.DUMMYFUNCTION("""COMPUTED_VALUE"""),45314.66666666667)</f>
        <v>45314.66667</v>
      </c>
      <c r="B255" s="3">
        <f>IFERROR(__xludf.DUMMYFUNCTION("""COMPUTED_VALUE"""),200.0)</f>
        <v>200</v>
      </c>
    </row>
    <row r="256">
      <c r="A256" s="2">
        <f>IFERROR(__xludf.DUMMYFUNCTION("""COMPUTED_VALUE"""),45315.66666666667)</f>
        <v>45315.66667</v>
      </c>
      <c r="B256" s="3">
        <f>IFERROR(__xludf.DUMMYFUNCTION("""COMPUTED_VALUE"""),190.0)</f>
        <v>190</v>
      </c>
    </row>
    <row r="257">
      <c r="A257" s="2">
        <f>IFERROR(__xludf.DUMMYFUNCTION("""COMPUTED_VALUE"""),45316.66666666667)</f>
        <v>45316.66667</v>
      </c>
      <c r="B257" s="3">
        <f>IFERROR(__xludf.DUMMYFUNCTION("""COMPUTED_VALUE"""),189.0)</f>
        <v>189</v>
      </c>
    </row>
    <row r="258">
      <c r="A258" s="2">
        <f>IFERROR(__xludf.DUMMYFUNCTION("""COMPUTED_VALUE"""),45317.66666666667)</f>
        <v>45317.66667</v>
      </c>
      <c r="B258" s="3">
        <f>IFERROR(__xludf.DUMMYFUNCTION("""COMPUTED_VALUE"""),182.0)</f>
        <v>182</v>
      </c>
    </row>
    <row r="259">
      <c r="A259" s="2">
        <f>IFERROR(__xludf.DUMMYFUNCTION("""COMPUTED_VALUE"""),45320.66666666667)</f>
        <v>45320.66667</v>
      </c>
      <c r="B259" s="3">
        <f>IFERROR(__xludf.DUMMYFUNCTION("""COMPUTED_VALUE"""),184.0)</f>
        <v>184</v>
      </c>
    </row>
    <row r="260">
      <c r="A260" s="2">
        <f>IFERROR(__xludf.DUMMYFUNCTION("""COMPUTED_VALUE"""),45321.66666666667)</f>
        <v>45321.66667</v>
      </c>
      <c r="B260" s="3">
        <f>IFERROR(__xludf.DUMMYFUNCTION("""COMPUTED_VALUE"""),176.0)</f>
        <v>176</v>
      </c>
    </row>
    <row r="261">
      <c r="A261" s="2">
        <f>IFERROR(__xludf.DUMMYFUNCTION("""COMPUTED_VALUE"""),45322.66666666667)</f>
        <v>45322.66667</v>
      </c>
      <c r="B261" s="3">
        <f>IFERROR(__xludf.DUMMYFUNCTION("""COMPUTED_VALUE"""),171.0)</f>
        <v>171</v>
      </c>
    </row>
    <row r="262">
      <c r="A262" s="2">
        <f>IFERROR(__xludf.DUMMYFUNCTION("""COMPUTED_VALUE"""),45323.66666666667)</f>
        <v>45323.66667</v>
      </c>
      <c r="B262" s="3">
        <f>IFERROR(__xludf.DUMMYFUNCTION("""COMPUTED_VALUE"""),170.0)</f>
        <v>170</v>
      </c>
    </row>
    <row r="263">
      <c r="A263" s="2">
        <f>IFERROR(__xludf.DUMMYFUNCTION("""COMPUTED_VALUE"""),45324.66666666667)</f>
        <v>45324.66667</v>
      </c>
      <c r="B263" s="3">
        <f>IFERROR(__xludf.DUMMYFUNCTION("""COMPUTED_VALUE"""),168.0)</f>
        <v>168</v>
      </c>
    </row>
    <row r="264">
      <c r="A264" s="2">
        <f>IFERROR(__xludf.DUMMYFUNCTION("""COMPUTED_VALUE"""),45327.66666666667)</f>
        <v>45327.66667</v>
      </c>
      <c r="B264" s="3">
        <f>IFERROR(__xludf.DUMMYFUNCTION("""COMPUTED_VALUE"""),164.0)</f>
        <v>164</v>
      </c>
    </row>
    <row r="265">
      <c r="A265" s="2">
        <f>IFERROR(__xludf.DUMMYFUNCTION("""COMPUTED_VALUE"""),45328.66666666667)</f>
        <v>45328.66667</v>
      </c>
      <c r="B265" s="3">
        <f>IFERROR(__xludf.DUMMYFUNCTION("""COMPUTED_VALUE"""),167.0)</f>
        <v>167</v>
      </c>
    </row>
    <row r="266">
      <c r="A266" s="2">
        <f>IFERROR(__xludf.DUMMYFUNCTION("""COMPUTED_VALUE"""),45329.66666666667)</f>
        <v>45329.66667</v>
      </c>
      <c r="B266" s="3">
        <f>IFERROR(__xludf.DUMMYFUNCTION("""COMPUTED_VALUE"""),172.0)</f>
        <v>172</v>
      </c>
    </row>
    <row r="267">
      <c r="A267" s="2">
        <f>IFERROR(__xludf.DUMMYFUNCTION("""COMPUTED_VALUE"""),45334.66666666667)</f>
        <v>45334.66667</v>
      </c>
      <c r="B267" s="3">
        <f>IFERROR(__xludf.DUMMYFUNCTION("""COMPUTED_VALUE"""),169.0)</f>
        <v>169</v>
      </c>
    </row>
    <row r="268">
      <c r="A268" s="2">
        <f>IFERROR(__xludf.DUMMYFUNCTION("""COMPUTED_VALUE"""),45335.66666666667)</f>
        <v>45335.66667</v>
      </c>
      <c r="B268" s="3">
        <f>IFERROR(__xludf.DUMMYFUNCTION("""COMPUTED_VALUE"""),166.0)</f>
        <v>166</v>
      </c>
    </row>
    <row r="269">
      <c r="A269" s="2">
        <f>IFERROR(__xludf.DUMMYFUNCTION("""COMPUTED_VALUE"""),45337.66666666667)</f>
        <v>45337.66667</v>
      </c>
      <c r="B269" s="3">
        <f>IFERROR(__xludf.DUMMYFUNCTION("""COMPUTED_VALUE"""),167.0)</f>
        <v>167</v>
      </c>
    </row>
    <row r="270">
      <c r="A270" s="2">
        <f>IFERROR(__xludf.DUMMYFUNCTION("""COMPUTED_VALUE"""),45338.66666666667)</f>
        <v>45338.66667</v>
      </c>
      <c r="B270" s="3">
        <f>IFERROR(__xludf.DUMMYFUNCTION("""COMPUTED_VALUE"""),169.0)</f>
        <v>169</v>
      </c>
    </row>
    <row r="271">
      <c r="A271" s="2">
        <f>IFERROR(__xludf.DUMMYFUNCTION("""COMPUTED_VALUE"""),45341.66666666667)</f>
        <v>45341.66667</v>
      </c>
      <c r="B271" s="3">
        <f>IFERROR(__xludf.DUMMYFUNCTION("""COMPUTED_VALUE"""),164.0)</f>
        <v>164</v>
      </c>
    </row>
    <row r="272">
      <c r="A272" s="2">
        <f>IFERROR(__xludf.DUMMYFUNCTION("""COMPUTED_VALUE"""),45342.66666666667)</f>
        <v>45342.66667</v>
      </c>
      <c r="B272" s="3">
        <f>IFERROR(__xludf.DUMMYFUNCTION("""COMPUTED_VALUE"""),168.0)</f>
        <v>168</v>
      </c>
    </row>
    <row r="273">
      <c r="A273" s="2">
        <f>IFERROR(__xludf.DUMMYFUNCTION("""COMPUTED_VALUE"""),45343.66666666667)</f>
        <v>45343.66667</v>
      </c>
      <c r="B273" s="3">
        <f>IFERROR(__xludf.DUMMYFUNCTION("""COMPUTED_VALUE"""),165.0)</f>
        <v>165</v>
      </c>
    </row>
    <row r="274">
      <c r="A274" s="2">
        <f>IFERROR(__xludf.DUMMYFUNCTION("""COMPUTED_VALUE"""),45344.66666666667)</f>
        <v>45344.66667</v>
      </c>
      <c r="B274" s="3">
        <f>IFERROR(__xludf.DUMMYFUNCTION("""COMPUTED_VALUE"""),168.0)</f>
        <v>168</v>
      </c>
    </row>
    <row r="275">
      <c r="A275" s="2">
        <f>IFERROR(__xludf.DUMMYFUNCTION("""COMPUTED_VALUE"""),45345.66666666667)</f>
        <v>45345.66667</v>
      </c>
      <c r="B275" s="3">
        <f>IFERROR(__xludf.DUMMYFUNCTION("""COMPUTED_VALUE"""),167.0)</f>
        <v>167</v>
      </c>
    </row>
    <row r="276">
      <c r="A276" s="2">
        <f>IFERROR(__xludf.DUMMYFUNCTION("""COMPUTED_VALUE"""),45348.66666666667)</f>
        <v>45348.66667</v>
      </c>
      <c r="B276" s="3">
        <f>IFERROR(__xludf.DUMMYFUNCTION("""COMPUTED_VALUE"""),166.0)</f>
        <v>166</v>
      </c>
    </row>
    <row r="277">
      <c r="A277" s="2">
        <f>IFERROR(__xludf.DUMMYFUNCTION("""COMPUTED_VALUE"""),45349.66666666667)</f>
        <v>45349.66667</v>
      </c>
      <c r="B277" s="3">
        <f>IFERROR(__xludf.DUMMYFUNCTION("""COMPUTED_VALUE"""),167.0)</f>
        <v>167</v>
      </c>
    </row>
    <row r="278">
      <c r="A278" s="2">
        <f>IFERROR(__xludf.DUMMYFUNCTION("""COMPUTED_VALUE"""),45350.66666666667)</f>
        <v>45350.66667</v>
      </c>
      <c r="B278" s="3">
        <f>IFERROR(__xludf.DUMMYFUNCTION("""COMPUTED_VALUE"""),166.0)</f>
        <v>166</v>
      </c>
    </row>
    <row r="279">
      <c r="A279" s="2">
        <f>IFERROR(__xludf.DUMMYFUNCTION("""COMPUTED_VALUE"""),45351.66666666667)</f>
        <v>45351.66667</v>
      </c>
      <c r="B279" s="3">
        <f>IFERROR(__xludf.DUMMYFUNCTION("""COMPUTED_VALUE"""),166.0)</f>
        <v>166</v>
      </c>
    </row>
    <row r="280">
      <c r="A280" s="2">
        <f>IFERROR(__xludf.DUMMYFUNCTION("""COMPUTED_VALUE"""),45352.66666666667)</f>
        <v>45352.66667</v>
      </c>
      <c r="B280" s="3">
        <f>IFERROR(__xludf.DUMMYFUNCTION("""COMPUTED_VALUE"""),167.0)</f>
        <v>167</v>
      </c>
    </row>
    <row r="281">
      <c r="A281" s="2">
        <f>IFERROR(__xludf.DUMMYFUNCTION("""COMPUTED_VALUE"""),45355.66666666667)</f>
        <v>45355.66667</v>
      </c>
      <c r="B281" s="3">
        <f>IFERROR(__xludf.DUMMYFUNCTION("""COMPUTED_VALUE"""),168.0)</f>
        <v>168</v>
      </c>
    </row>
    <row r="282">
      <c r="A282" s="2">
        <f>IFERROR(__xludf.DUMMYFUNCTION("""COMPUTED_VALUE"""),45356.66666666667)</f>
        <v>45356.66667</v>
      </c>
      <c r="B282" s="3">
        <f>IFERROR(__xludf.DUMMYFUNCTION("""COMPUTED_VALUE"""),166.0)</f>
        <v>166</v>
      </c>
    </row>
    <row r="283">
      <c r="A283" s="2">
        <f>IFERROR(__xludf.DUMMYFUNCTION("""COMPUTED_VALUE"""),45357.66666666667)</f>
        <v>45357.66667</v>
      </c>
      <c r="B283" s="3">
        <f>IFERROR(__xludf.DUMMYFUNCTION("""COMPUTED_VALUE"""),166.0)</f>
        <v>166</v>
      </c>
    </row>
    <row r="284">
      <c r="A284" s="2">
        <f>IFERROR(__xludf.DUMMYFUNCTION("""COMPUTED_VALUE"""),45358.66666666667)</f>
        <v>45358.66667</v>
      </c>
      <c r="B284" s="3">
        <f>IFERROR(__xludf.DUMMYFUNCTION("""COMPUTED_VALUE"""),166.0)</f>
        <v>166</v>
      </c>
    </row>
    <row r="285">
      <c r="A285" s="2">
        <f>IFERROR(__xludf.DUMMYFUNCTION("""COMPUTED_VALUE"""),45359.66666666667)</f>
        <v>45359.66667</v>
      </c>
      <c r="B285" s="3">
        <f>IFERROR(__xludf.DUMMYFUNCTION("""COMPUTED_VALUE"""),167.0)</f>
        <v>167</v>
      </c>
    </row>
    <row r="286">
      <c r="A286" s="2">
        <f>IFERROR(__xludf.DUMMYFUNCTION("""COMPUTED_VALUE"""),45364.66666666667)</f>
        <v>45364.66667</v>
      </c>
      <c r="B286" s="3">
        <f>IFERROR(__xludf.DUMMYFUNCTION("""COMPUTED_VALUE"""),167.0)</f>
        <v>167</v>
      </c>
    </row>
    <row r="287">
      <c r="A287" s="2">
        <f>IFERROR(__xludf.DUMMYFUNCTION("""COMPUTED_VALUE"""),45365.66666666667)</f>
        <v>45365.66667</v>
      </c>
      <c r="B287" s="3">
        <f>IFERROR(__xludf.DUMMYFUNCTION("""COMPUTED_VALUE"""),167.0)</f>
        <v>167</v>
      </c>
    </row>
    <row r="288">
      <c r="A288" s="2">
        <f>IFERROR(__xludf.DUMMYFUNCTION("""COMPUTED_VALUE"""),45366.66666666667)</f>
        <v>45366.66667</v>
      </c>
      <c r="B288" s="3">
        <f>IFERROR(__xludf.DUMMYFUNCTION("""COMPUTED_VALUE"""),173.0)</f>
        <v>173</v>
      </c>
    </row>
    <row r="289">
      <c r="A289" s="2">
        <f>IFERROR(__xludf.DUMMYFUNCTION("""COMPUTED_VALUE"""),45369.66666666667)</f>
        <v>45369.66667</v>
      </c>
      <c r="B289" s="3">
        <f>IFERROR(__xludf.DUMMYFUNCTION("""COMPUTED_VALUE"""),173.0)</f>
        <v>173</v>
      </c>
    </row>
    <row r="290">
      <c r="A290" s="2">
        <f>IFERROR(__xludf.DUMMYFUNCTION("""COMPUTED_VALUE"""),45370.66666666667)</f>
        <v>45370.66667</v>
      </c>
      <c r="B290" s="3">
        <f>IFERROR(__xludf.DUMMYFUNCTION("""COMPUTED_VALUE"""),185.0)</f>
        <v>185</v>
      </c>
    </row>
    <row r="291">
      <c r="A291" s="2">
        <f>IFERROR(__xludf.DUMMYFUNCTION("""COMPUTED_VALUE"""),45371.66666666667)</f>
        <v>45371.66667</v>
      </c>
      <c r="B291" s="3">
        <f>IFERROR(__xludf.DUMMYFUNCTION("""COMPUTED_VALUE"""),183.0)</f>
        <v>183</v>
      </c>
    </row>
    <row r="292">
      <c r="A292" s="2">
        <f>IFERROR(__xludf.DUMMYFUNCTION("""COMPUTED_VALUE"""),45372.66666666667)</f>
        <v>45372.66667</v>
      </c>
      <c r="B292" s="3">
        <f>IFERROR(__xludf.DUMMYFUNCTION("""COMPUTED_VALUE"""),179.0)</f>
        <v>179</v>
      </c>
    </row>
    <row r="293">
      <c r="A293" s="2">
        <f>IFERROR(__xludf.DUMMYFUNCTION("""COMPUTED_VALUE"""),45373.66666666667)</f>
        <v>45373.66667</v>
      </c>
      <c r="B293" s="3">
        <f>IFERROR(__xludf.DUMMYFUNCTION("""COMPUTED_VALUE"""),176.0)</f>
        <v>176</v>
      </c>
    </row>
    <row r="294">
      <c r="A294" s="2">
        <f>IFERROR(__xludf.DUMMYFUNCTION("""COMPUTED_VALUE"""),45376.66666666667)</f>
        <v>45376.66667</v>
      </c>
      <c r="B294" s="3">
        <f>IFERROR(__xludf.DUMMYFUNCTION("""COMPUTED_VALUE"""),175.0)</f>
        <v>175</v>
      </c>
    </row>
    <row r="295">
      <c r="A295" s="2">
        <f>IFERROR(__xludf.DUMMYFUNCTION("""COMPUTED_VALUE"""),45377.66666666667)</f>
        <v>45377.66667</v>
      </c>
      <c r="B295" s="3">
        <f>IFERROR(__xludf.DUMMYFUNCTION("""COMPUTED_VALUE"""),181.0)</f>
        <v>181</v>
      </c>
    </row>
    <row r="296">
      <c r="A296" s="2">
        <f>IFERROR(__xludf.DUMMYFUNCTION("""COMPUTED_VALUE"""),45378.66666666667)</f>
        <v>45378.66667</v>
      </c>
      <c r="B296" s="3">
        <f>IFERROR(__xludf.DUMMYFUNCTION("""COMPUTED_VALUE"""),172.0)</f>
        <v>172</v>
      </c>
    </row>
    <row r="297">
      <c r="A297" s="2">
        <f>IFERROR(__xludf.DUMMYFUNCTION("""COMPUTED_VALUE"""),45379.66666666667)</f>
        <v>45379.66667</v>
      </c>
      <c r="B297" s="3">
        <f>IFERROR(__xludf.DUMMYFUNCTION("""COMPUTED_VALUE"""),165.0)</f>
        <v>165</v>
      </c>
    </row>
    <row r="298">
      <c r="A298" s="2">
        <f>IFERROR(__xludf.DUMMYFUNCTION("""COMPUTED_VALUE"""),45383.66666666667)</f>
        <v>45383.66667</v>
      </c>
      <c r="B298" s="3">
        <f>IFERROR(__xludf.DUMMYFUNCTION("""COMPUTED_VALUE"""),156.0)</f>
        <v>156</v>
      </c>
    </row>
    <row r="299">
      <c r="A299" s="2">
        <f>IFERROR(__xludf.DUMMYFUNCTION("""COMPUTED_VALUE"""),45384.66666666667)</f>
        <v>45384.66667</v>
      </c>
      <c r="B299" s="3">
        <f>IFERROR(__xludf.DUMMYFUNCTION("""COMPUTED_VALUE"""),163.0)</f>
        <v>163</v>
      </c>
    </row>
    <row r="300">
      <c r="A300" s="2">
        <f>IFERROR(__xludf.DUMMYFUNCTION("""COMPUTED_VALUE"""),45385.66666666667)</f>
        <v>45385.66667</v>
      </c>
      <c r="B300" s="3">
        <f>IFERROR(__xludf.DUMMYFUNCTION("""COMPUTED_VALUE"""),169.0)</f>
        <v>169</v>
      </c>
    </row>
    <row r="301">
      <c r="A301" s="2">
        <f>IFERROR(__xludf.DUMMYFUNCTION("""COMPUTED_VALUE"""),45386.66666666667)</f>
        <v>45386.66667</v>
      </c>
      <c r="B301" s="3">
        <f>IFERROR(__xludf.DUMMYFUNCTION("""COMPUTED_VALUE"""),168.0)</f>
        <v>168</v>
      </c>
    </row>
    <row r="302">
      <c r="A302" s="2">
        <f>IFERROR(__xludf.DUMMYFUNCTION("""COMPUTED_VALUE"""),45387.66666666667)</f>
        <v>45387.66667</v>
      </c>
      <c r="B302" s="3">
        <f>IFERROR(__xludf.DUMMYFUNCTION("""COMPUTED_VALUE"""),168.0)</f>
        <v>168</v>
      </c>
    </row>
    <row r="303">
      <c r="A303" s="2">
        <f>IFERROR(__xludf.DUMMYFUNCTION("""COMPUTED_VALUE"""),45398.66666666667)</f>
        <v>45398.66667</v>
      </c>
      <c r="B303" s="3">
        <f>IFERROR(__xludf.DUMMYFUNCTION("""COMPUTED_VALUE"""),177.0)</f>
        <v>177</v>
      </c>
    </row>
    <row r="304">
      <c r="A304" s="2">
        <f>IFERROR(__xludf.DUMMYFUNCTION("""COMPUTED_VALUE"""),45399.66666666667)</f>
        <v>45399.66667</v>
      </c>
      <c r="B304" s="3">
        <f>IFERROR(__xludf.DUMMYFUNCTION("""COMPUTED_VALUE"""),173.0)</f>
        <v>173</v>
      </c>
    </row>
    <row r="305">
      <c r="A305" s="2">
        <f>IFERROR(__xludf.DUMMYFUNCTION("""COMPUTED_VALUE"""),45400.66666666667)</f>
        <v>45400.66667</v>
      </c>
      <c r="B305" s="3">
        <f>IFERROR(__xludf.DUMMYFUNCTION("""COMPUTED_VALUE"""),170.0)</f>
        <v>170</v>
      </c>
    </row>
    <row r="306">
      <c r="A306" s="2">
        <f>IFERROR(__xludf.DUMMYFUNCTION("""COMPUTED_VALUE"""),45401.66666666667)</f>
        <v>45401.66667</v>
      </c>
      <c r="B306" s="3">
        <f>IFERROR(__xludf.DUMMYFUNCTION("""COMPUTED_VALUE"""),168.0)</f>
        <v>168</v>
      </c>
    </row>
    <row r="307">
      <c r="A307" s="2">
        <f>IFERROR(__xludf.DUMMYFUNCTION("""COMPUTED_VALUE"""),45404.66666666667)</f>
        <v>45404.66667</v>
      </c>
      <c r="B307" s="3">
        <f>IFERROR(__xludf.DUMMYFUNCTION("""COMPUTED_VALUE"""),167.0)</f>
        <v>167</v>
      </c>
    </row>
    <row r="308">
      <c r="A308" s="2">
        <f>IFERROR(__xludf.DUMMYFUNCTION("""COMPUTED_VALUE"""),45405.66666666667)</f>
        <v>45405.66667</v>
      </c>
      <c r="B308" s="3">
        <f>IFERROR(__xludf.DUMMYFUNCTION("""COMPUTED_VALUE"""),160.0)</f>
        <v>160</v>
      </c>
    </row>
    <row r="309">
      <c r="A309" s="2">
        <f>IFERROR(__xludf.DUMMYFUNCTION("""COMPUTED_VALUE"""),45406.66666666667)</f>
        <v>45406.66667</v>
      </c>
      <c r="B309" s="3">
        <f>IFERROR(__xludf.DUMMYFUNCTION("""COMPUTED_VALUE"""),160.0)</f>
        <v>160</v>
      </c>
    </row>
    <row r="310">
      <c r="A310" s="2">
        <f>IFERROR(__xludf.DUMMYFUNCTION("""COMPUTED_VALUE"""),45407.66666666667)</f>
        <v>45407.66667</v>
      </c>
      <c r="B310" s="3">
        <f>IFERROR(__xludf.DUMMYFUNCTION("""COMPUTED_VALUE"""),161.0)</f>
        <v>161</v>
      </c>
    </row>
    <row r="311">
      <c r="A311" s="2">
        <f>IFERROR(__xludf.DUMMYFUNCTION("""COMPUTED_VALUE"""),45408.66666666667)</f>
        <v>45408.66667</v>
      </c>
      <c r="B311" s="3">
        <f>IFERROR(__xludf.DUMMYFUNCTION("""COMPUTED_VALUE"""),157.0)</f>
        <v>157</v>
      </c>
    </row>
    <row r="312">
      <c r="A312" s="2">
        <f>IFERROR(__xludf.DUMMYFUNCTION("""COMPUTED_VALUE"""),45411.66666666667)</f>
        <v>45411.66667</v>
      </c>
      <c r="B312" s="3">
        <f>IFERROR(__xludf.DUMMYFUNCTION("""COMPUTED_VALUE"""),152.0)</f>
        <v>152</v>
      </c>
    </row>
    <row r="313">
      <c r="A313" s="2">
        <f>IFERROR(__xludf.DUMMYFUNCTION("""COMPUTED_VALUE"""),45412.66666666667)</f>
        <v>45412.66667</v>
      </c>
      <c r="B313" s="3">
        <f>IFERROR(__xludf.DUMMYFUNCTION("""COMPUTED_VALUE"""),157.0)</f>
        <v>157</v>
      </c>
    </row>
    <row r="314">
      <c r="A314" s="2">
        <f>IFERROR(__xludf.DUMMYFUNCTION("""COMPUTED_VALUE"""),45414.66666666667)</f>
        <v>45414.66667</v>
      </c>
      <c r="B314" s="3">
        <f>IFERROR(__xludf.DUMMYFUNCTION("""COMPUTED_VALUE"""),154.0)</f>
        <v>154</v>
      </c>
    </row>
    <row r="315">
      <c r="A315" s="2">
        <f>IFERROR(__xludf.DUMMYFUNCTION("""COMPUTED_VALUE"""),45415.66666666667)</f>
        <v>45415.66667</v>
      </c>
      <c r="B315" s="3">
        <f>IFERROR(__xludf.DUMMYFUNCTION("""COMPUTED_VALUE"""),153.0)</f>
        <v>153</v>
      </c>
    </row>
    <row r="316">
      <c r="A316" s="2">
        <f>IFERROR(__xludf.DUMMYFUNCTION("""COMPUTED_VALUE"""),45418.66666666667)</f>
        <v>45418.66667</v>
      </c>
      <c r="B316" s="3">
        <f>IFERROR(__xludf.DUMMYFUNCTION("""COMPUTED_VALUE"""),152.0)</f>
        <v>152</v>
      </c>
    </row>
    <row r="317">
      <c r="A317" s="2">
        <f>IFERROR(__xludf.DUMMYFUNCTION("""COMPUTED_VALUE"""),45419.66666666667)</f>
        <v>45419.66667</v>
      </c>
      <c r="B317" s="3">
        <f>IFERROR(__xludf.DUMMYFUNCTION("""COMPUTED_VALUE"""),155.0)</f>
        <v>155</v>
      </c>
    </row>
    <row r="318">
      <c r="A318" s="2">
        <f>IFERROR(__xludf.DUMMYFUNCTION("""COMPUTED_VALUE"""),45420.66666666667)</f>
        <v>45420.66667</v>
      </c>
      <c r="B318" s="3">
        <f>IFERROR(__xludf.DUMMYFUNCTION("""COMPUTED_VALUE"""),152.0)</f>
        <v>152</v>
      </c>
    </row>
    <row r="319">
      <c r="A319" s="2">
        <f>IFERROR(__xludf.DUMMYFUNCTION("""COMPUTED_VALUE"""),45425.66666666667)</f>
        <v>45425.66667</v>
      </c>
      <c r="B319" s="3">
        <f>IFERROR(__xludf.DUMMYFUNCTION("""COMPUTED_VALUE"""),150.0)</f>
        <v>150</v>
      </c>
    </row>
    <row r="320">
      <c r="A320" s="2">
        <f>IFERROR(__xludf.DUMMYFUNCTION("""COMPUTED_VALUE"""),45426.66666666667)</f>
        <v>45426.66667</v>
      </c>
      <c r="B320" s="3">
        <f>IFERROR(__xludf.DUMMYFUNCTION("""COMPUTED_VALUE"""),148.0)</f>
        <v>148</v>
      </c>
    </row>
    <row r="321">
      <c r="A321" s="2">
        <f>IFERROR(__xludf.DUMMYFUNCTION("""COMPUTED_VALUE"""),45427.66666666667)</f>
        <v>45427.66667</v>
      </c>
      <c r="B321" s="3">
        <f>IFERROR(__xludf.DUMMYFUNCTION("""COMPUTED_VALUE"""),149.0)</f>
        <v>149</v>
      </c>
    </row>
    <row r="322">
      <c r="A322" s="2">
        <f>IFERROR(__xludf.DUMMYFUNCTION("""COMPUTED_VALUE"""),45428.66666666667)</f>
        <v>45428.66667</v>
      </c>
      <c r="B322" s="3">
        <f>IFERROR(__xludf.DUMMYFUNCTION("""COMPUTED_VALUE"""),150.0)</f>
        <v>150</v>
      </c>
    </row>
    <row r="323">
      <c r="A323" s="2">
        <f>IFERROR(__xludf.DUMMYFUNCTION("""COMPUTED_VALUE"""),45429.66666666667)</f>
        <v>45429.66667</v>
      </c>
      <c r="B323" s="3">
        <f>IFERROR(__xludf.DUMMYFUNCTION("""COMPUTED_VALUE"""),148.0)</f>
        <v>148</v>
      </c>
    </row>
    <row r="324">
      <c r="A324" s="2">
        <f>IFERROR(__xludf.DUMMYFUNCTION("""COMPUTED_VALUE"""),45432.66666666667)</f>
        <v>45432.66667</v>
      </c>
      <c r="B324" s="3">
        <f>IFERROR(__xludf.DUMMYFUNCTION("""COMPUTED_VALUE"""),160.0)</f>
        <v>160</v>
      </c>
    </row>
    <row r="325">
      <c r="A325" s="2">
        <f>IFERROR(__xludf.DUMMYFUNCTION("""COMPUTED_VALUE"""),45433.66666666667)</f>
        <v>45433.66667</v>
      </c>
      <c r="B325" s="3">
        <f>IFERROR(__xludf.DUMMYFUNCTION("""COMPUTED_VALUE"""),155.0)</f>
        <v>155</v>
      </c>
    </row>
    <row r="326">
      <c r="A326" s="2">
        <f>IFERROR(__xludf.DUMMYFUNCTION("""COMPUTED_VALUE"""),45434.66666666667)</f>
        <v>45434.66667</v>
      </c>
      <c r="B326" s="3">
        <f>IFERROR(__xludf.DUMMYFUNCTION("""COMPUTED_VALUE"""),153.0)</f>
        <v>153</v>
      </c>
    </row>
    <row r="327">
      <c r="A327" s="2">
        <f>IFERROR(__xludf.DUMMYFUNCTION("""COMPUTED_VALUE"""),45439.66666666667)</f>
        <v>45439.66667</v>
      </c>
      <c r="B327" s="3">
        <f>IFERROR(__xludf.DUMMYFUNCTION("""COMPUTED_VALUE"""),150.0)</f>
        <v>150</v>
      </c>
    </row>
    <row r="328">
      <c r="A328" s="2">
        <f>IFERROR(__xludf.DUMMYFUNCTION("""COMPUTED_VALUE"""),45440.66666666667)</f>
        <v>45440.66667</v>
      </c>
      <c r="B328" s="3">
        <f>IFERROR(__xludf.DUMMYFUNCTION("""COMPUTED_VALUE"""),150.0)</f>
        <v>150</v>
      </c>
    </row>
    <row r="329">
      <c r="A329" s="2">
        <f>IFERROR(__xludf.DUMMYFUNCTION("""COMPUTED_VALUE"""),45441.66666666667)</f>
        <v>45441.66667</v>
      </c>
      <c r="B329" s="3">
        <f>IFERROR(__xludf.DUMMYFUNCTION("""COMPUTED_VALUE"""),149.0)</f>
        <v>149</v>
      </c>
    </row>
    <row r="330">
      <c r="A330" s="2">
        <f>IFERROR(__xludf.DUMMYFUNCTION("""COMPUTED_VALUE"""),45442.66666666667)</f>
        <v>45442.66667</v>
      </c>
      <c r="B330" s="3">
        <f>IFERROR(__xludf.DUMMYFUNCTION("""COMPUTED_VALUE"""),145.0)</f>
        <v>145</v>
      </c>
    </row>
    <row r="331">
      <c r="A331" s="2">
        <f>IFERROR(__xludf.DUMMYFUNCTION("""COMPUTED_VALUE"""),45443.66666666667)</f>
        <v>45443.66667</v>
      </c>
      <c r="B331" s="3">
        <f>IFERROR(__xludf.DUMMYFUNCTION("""COMPUTED_VALUE"""),141.0)</f>
        <v>141</v>
      </c>
    </row>
    <row r="332">
      <c r="A332" s="2">
        <f>IFERROR(__xludf.DUMMYFUNCTION("""COMPUTED_VALUE"""),45446.66666666667)</f>
        <v>45446.66667</v>
      </c>
      <c r="B332" s="3">
        <f>IFERROR(__xludf.DUMMYFUNCTION("""COMPUTED_VALUE"""),140.0)</f>
        <v>140</v>
      </c>
    </row>
    <row r="333">
      <c r="A333" s="2">
        <f>IFERROR(__xludf.DUMMYFUNCTION("""COMPUTED_VALUE"""),45447.66666666667)</f>
        <v>45447.66667</v>
      </c>
      <c r="B333" s="3">
        <f>IFERROR(__xludf.DUMMYFUNCTION("""COMPUTED_VALUE"""),133.0)</f>
        <v>133</v>
      </c>
    </row>
    <row r="334">
      <c r="A334" s="2">
        <f>IFERROR(__xludf.DUMMYFUNCTION("""COMPUTED_VALUE"""),45448.66666666667)</f>
        <v>45448.66667</v>
      </c>
      <c r="B334" s="3">
        <f>IFERROR(__xludf.DUMMYFUNCTION("""COMPUTED_VALUE"""),129.0)</f>
        <v>129</v>
      </c>
    </row>
    <row r="335">
      <c r="A335" s="2">
        <f>IFERROR(__xludf.DUMMYFUNCTION("""COMPUTED_VALUE"""),45449.66666666667)</f>
        <v>45449.66667</v>
      </c>
      <c r="B335" s="3">
        <f>IFERROR(__xludf.DUMMYFUNCTION("""COMPUTED_VALUE"""),131.0)</f>
        <v>131</v>
      </c>
    </row>
    <row r="336">
      <c r="A336" s="2">
        <f>IFERROR(__xludf.DUMMYFUNCTION("""COMPUTED_VALUE"""),45450.66666666667)</f>
        <v>45450.66667</v>
      </c>
      <c r="B336" s="3">
        <f>IFERROR(__xludf.DUMMYFUNCTION("""COMPUTED_VALUE"""),132.0)</f>
        <v>132</v>
      </c>
    </row>
    <row r="337">
      <c r="A337" s="2">
        <f>IFERROR(__xludf.DUMMYFUNCTION("""COMPUTED_VALUE"""),45453.66666666667)</f>
        <v>45453.66667</v>
      </c>
      <c r="B337" s="3">
        <f>IFERROR(__xludf.DUMMYFUNCTION("""COMPUTED_VALUE"""),128.0)</f>
        <v>128</v>
      </c>
    </row>
    <row r="338">
      <c r="A338" s="2">
        <f>IFERROR(__xludf.DUMMYFUNCTION("""COMPUTED_VALUE"""),45454.66666666667)</f>
        <v>45454.66667</v>
      </c>
      <c r="B338" s="3">
        <f>IFERROR(__xludf.DUMMYFUNCTION("""COMPUTED_VALUE"""),128.0)</f>
        <v>128</v>
      </c>
    </row>
    <row r="339">
      <c r="A339" s="2">
        <f>IFERROR(__xludf.DUMMYFUNCTION("""COMPUTED_VALUE"""),45455.66666666667)</f>
        <v>45455.66667</v>
      </c>
      <c r="B339" s="3">
        <f>IFERROR(__xludf.DUMMYFUNCTION("""COMPUTED_VALUE"""),125.0)</f>
        <v>125</v>
      </c>
    </row>
    <row r="340">
      <c r="A340" s="2">
        <f>IFERROR(__xludf.DUMMYFUNCTION("""COMPUTED_VALUE"""),45456.66666666667)</f>
        <v>45456.66667</v>
      </c>
      <c r="B340" s="3">
        <f>IFERROR(__xludf.DUMMYFUNCTION("""COMPUTED_VALUE"""),127.0)</f>
        <v>127</v>
      </c>
    </row>
    <row r="341">
      <c r="A341" s="2">
        <f>IFERROR(__xludf.DUMMYFUNCTION("""COMPUTED_VALUE"""),45457.66666666667)</f>
        <v>45457.66667</v>
      </c>
      <c r="B341" s="3">
        <f>IFERROR(__xludf.DUMMYFUNCTION("""COMPUTED_VALUE"""),123.0)</f>
        <v>123</v>
      </c>
    </row>
    <row r="342">
      <c r="A342" s="2">
        <f>IFERROR(__xludf.DUMMYFUNCTION("""COMPUTED_VALUE"""),45462.66666666667)</f>
        <v>45462.66667</v>
      </c>
      <c r="B342" s="3">
        <f>IFERROR(__xludf.DUMMYFUNCTION("""COMPUTED_VALUE"""),122.0)</f>
        <v>122</v>
      </c>
    </row>
    <row r="343">
      <c r="A343" s="2">
        <f>IFERROR(__xludf.DUMMYFUNCTION("""COMPUTED_VALUE"""),45463.66666666667)</f>
        <v>45463.66667</v>
      </c>
      <c r="B343" s="3">
        <f>IFERROR(__xludf.DUMMYFUNCTION("""COMPUTED_VALUE"""),122.0)</f>
        <v>122</v>
      </c>
    </row>
    <row r="344">
      <c r="A344" s="2">
        <f>IFERROR(__xludf.DUMMYFUNCTION("""COMPUTED_VALUE"""),45464.66666666667)</f>
        <v>45464.66667</v>
      </c>
      <c r="B344" s="3">
        <f>IFERROR(__xludf.DUMMYFUNCTION("""COMPUTED_VALUE"""),124.0)</f>
        <v>124</v>
      </c>
    </row>
    <row r="345">
      <c r="A345" s="2">
        <f>IFERROR(__xludf.DUMMYFUNCTION("""COMPUTED_VALUE"""),45467.66666666667)</f>
        <v>45467.66667</v>
      </c>
      <c r="B345" s="3">
        <f>IFERROR(__xludf.DUMMYFUNCTION("""COMPUTED_VALUE"""),123.0)</f>
        <v>123</v>
      </c>
    </row>
    <row r="346">
      <c r="A346" s="2">
        <f>IFERROR(__xludf.DUMMYFUNCTION("""COMPUTED_VALUE"""),45468.66666666667)</f>
        <v>45468.66667</v>
      </c>
      <c r="B346" s="3">
        <f>IFERROR(__xludf.DUMMYFUNCTION("""COMPUTED_VALUE"""),123.0)</f>
        <v>123</v>
      </c>
    </row>
    <row r="347">
      <c r="A347" s="2">
        <f>IFERROR(__xludf.DUMMYFUNCTION("""COMPUTED_VALUE"""),45469.66666666667)</f>
        <v>45469.66667</v>
      </c>
      <c r="B347" s="3">
        <f>IFERROR(__xludf.DUMMYFUNCTION("""COMPUTED_VALUE"""),124.0)</f>
        <v>124</v>
      </c>
    </row>
    <row r="348">
      <c r="A348" s="2">
        <f>IFERROR(__xludf.DUMMYFUNCTION("""COMPUTED_VALUE"""),45470.66666666667)</f>
        <v>45470.66667</v>
      </c>
      <c r="B348" s="3">
        <f>IFERROR(__xludf.DUMMYFUNCTION("""COMPUTED_VALUE"""),128.0)</f>
        <v>128</v>
      </c>
    </row>
    <row r="349">
      <c r="A349" s="2">
        <f>IFERROR(__xludf.DUMMYFUNCTION("""COMPUTED_VALUE"""),45471.66666666667)</f>
        <v>45471.66667</v>
      </c>
      <c r="B349" s="3">
        <f>IFERROR(__xludf.DUMMYFUNCTION("""COMPUTED_VALUE"""),132.0)</f>
        <v>132</v>
      </c>
    </row>
    <row r="350">
      <c r="A350" s="2">
        <f>IFERROR(__xludf.DUMMYFUNCTION("""COMPUTED_VALUE"""),45474.66666666667)</f>
        <v>45474.66667</v>
      </c>
      <c r="B350" s="3">
        <f>IFERROR(__xludf.DUMMYFUNCTION("""COMPUTED_VALUE"""),129.0)</f>
        <v>129</v>
      </c>
    </row>
    <row r="351">
      <c r="A351" s="2">
        <f>IFERROR(__xludf.DUMMYFUNCTION("""COMPUTED_VALUE"""),45475.66666666667)</f>
        <v>45475.66667</v>
      </c>
      <c r="B351" s="3">
        <f>IFERROR(__xludf.DUMMYFUNCTION("""COMPUTED_VALUE"""),135.0)</f>
        <v>135</v>
      </c>
    </row>
    <row r="352">
      <c r="A352" s="2">
        <f>IFERROR(__xludf.DUMMYFUNCTION("""COMPUTED_VALUE"""),45476.66666666667)</f>
        <v>45476.66667</v>
      </c>
      <c r="B352" s="3">
        <f>IFERROR(__xludf.DUMMYFUNCTION("""COMPUTED_VALUE"""),133.0)</f>
        <v>133</v>
      </c>
    </row>
    <row r="353">
      <c r="A353" s="2">
        <f>IFERROR(__xludf.DUMMYFUNCTION("""COMPUTED_VALUE"""),45477.66666666667)</f>
        <v>45477.66667</v>
      </c>
      <c r="B353" s="3">
        <f>IFERROR(__xludf.DUMMYFUNCTION("""COMPUTED_VALUE"""),134.0)</f>
        <v>134</v>
      </c>
    </row>
    <row r="354">
      <c r="A354" s="2">
        <f>IFERROR(__xludf.DUMMYFUNCTION("""COMPUTED_VALUE"""),45478.66666666667)</f>
        <v>45478.66667</v>
      </c>
      <c r="B354" s="3">
        <f>IFERROR(__xludf.DUMMYFUNCTION("""COMPUTED_VALUE"""),146.0)</f>
        <v>146</v>
      </c>
    </row>
    <row r="355">
      <c r="A355" s="2">
        <f>IFERROR(__xludf.DUMMYFUNCTION("""COMPUTED_VALUE"""),45481.66666666667)</f>
        <v>45481.66667</v>
      </c>
      <c r="B355" s="3">
        <f>IFERROR(__xludf.DUMMYFUNCTION("""COMPUTED_VALUE"""),143.0)</f>
        <v>143</v>
      </c>
    </row>
    <row r="356">
      <c r="A356" s="2">
        <f>IFERROR(__xludf.DUMMYFUNCTION("""COMPUTED_VALUE"""),45482.66666666667)</f>
        <v>45482.66667</v>
      </c>
      <c r="B356" s="3">
        <f>IFERROR(__xludf.DUMMYFUNCTION("""COMPUTED_VALUE"""),143.0)</f>
        <v>143</v>
      </c>
    </row>
    <row r="357">
      <c r="A357" s="2">
        <f>IFERROR(__xludf.DUMMYFUNCTION("""COMPUTED_VALUE"""),45483.66666666667)</f>
        <v>45483.66667</v>
      </c>
      <c r="B357" s="3">
        <f>IFERROR(__xludf.DUMMYFUNCTION("""COMPUTED_VALUE"""),150.0)</f>
        <v>150</v>
      </c>
    </row>
    <row r="358">
      <c r="A358" s="2">
        <f>IFERROR(__xludf.DUMMYFUNCTION("""COMPUTED_VALUE"""),45484.66666666667)</f>
        <v>45484.66667</v>
      </c>
      <c r="B358" s="3">
        <f>IFERROR(__xludf.DUMMYFUNCTION("""COMPUTED_VALUE"""),149.0)</f>
        <v>149</v>
      </c>
    </row>
    <row r="359">
      <c r="A359" s="2">
        <f>IFERROR(__xludf.DUMMYFUNCTION("""COMPUTED_VALUE"""),45485.66666666667)</f>
        <v>45485.66667</v>
      </c>
      <c r="B359" s="3">
        <f>IFERROR(__xludf.DUMMYFUNCTION("""COMPUTED_VALUE"""),145.0)</f>
        <v>145</v>
      </c>
    </row>
    <row r="360">
      <c r="A360" s="2">
        <f>IFERROR(__xludf.DUMMYFUNCTION("""COMPUTED_VALUE"""),45488.66666666667)</f>
        <v>45488.66667</v>
      </c>
      <c r="B360" s="3">
        <f>IFERROR(__xludf.DUMMYFUNCTION("""COMPUTED_VALUE"""),150.0)</f>
        <v>150</v>
      </c>
    </row>
    <row r="361">
      <c r="A361" s="2">
        <f>IFERROR(__xludf.DUMMYFUNCTION("""COMPUTED_VALUE"""),45489.66666666667)</f>
        <v>45489.66667</v>
      </c>
      <c r="B361" s="3">
        <f>IFERROR(__xludf.DUMMYFUNCTION("""COMPUTED_VALUE"""),150.0)</f>
        <v>150</v>
      </c>
    </row>
    <row r="362">
      <c r="A362" s="2">
        <f>IFERROR(__xludf.DUMMYFUNCTION("""COMPUTED_VALUE"""),45490.66666666667)</f>
        <v>45490.66667</v>
      </c>
      <c r="B362" s="3">
        <f>IFERROR(__xludf.DUMMYFUNCTION("""COMPUTED_VALUE"""),151.0)</f>
        <v>151</v>
      </c>
    </row>
    <row r="363">
      <c r="A363" s="2">
        <f>IFERROR(__xludf.DUMMYFUNCTION("""COMPUTED_VALUE"""),45491.66666666667)</f>
        <v>45491.66667</v>
      </c>
      <c r="B363" s="3">
        <f>IFERROR(__xludf.DUMMYFUNCTION("""COMPUTED_VALUE"""),153.0)</f>
        <v>153</v>
      </c>
    </row>
    <row r="364">
      <c r="A364" s="2">
        <f>IFERROR(__xludf.DUMMYFUNCTION("""COMPUTED_VALUE"""),45492.66666666667)</f>
        <v>45492.66667</v>
      </c>
      <c r="B364" s="3">
        <f>IFERROR(__xludf.DUMMYFUNCTION("""COMPUTED_VALUE"""),151.0)</f>
        <v>151</v>
      </c>
    </row>
    <row r="365">
      <c r="A365" s="2">
        <f>IFERROR(__xludf.DUMMYFUNCTION("""COMPUTED_VALUE"""),45495.66666666667)</f>
        <v>45495.66667</v>
      </c>
      <c r="B365" s="3">
        <f>IFERROR(__xludf.DUMMYFUNCTION("""COMPUTED_VALUE"""),146.0)</f>
        <v>146</v>
      </c>
    </row>
    <row r="366">
      <c r="A366" s="2">
        <f>IFERROR(__xludf.DUMMYFUNCTION("""COMPUTED_VALUE"""),45496.66666666667)</f>
        <v>45496.66667</v>
      </c>
      <c r="B366" s="3">
        <f>IFERROR(__xludf.DUMMYFUNCTION("""COMPUTED_VALUE"""),142.0)</f>
        <v>142</v>
      </c>
    </row>
    <row r="367">
      <c r="A367" s="2">
        <f>IFERROR(__xludf.DUMMYFUNCTION("""COMPUTED_VALUE"""),45497.66666666667)</f>
        <v>45497.66667</v>
      </c>
      <c r="B367" s="3">
        <f>IFERROR(__xludf.DUMMYFUNCTION("""COMPUTED_VALUE"""),142.0)</f>
        <v>142</v>
      </c>
    </row>
    <row r="368">
      <c r="A368" s="2">
        <f>IFERROR(__xludf.DUMMYFUNCTION("""COMPUTED_VALUE"""),45498.66666666667)</f>
        <v>45498.66667</v>
      </c>
      <c r="B368" s="3">
        <f>IFERROR(__xludf.DUMMYFUNCTION("""COMPUTED_VALUE"""),138.0)</f>
        <v>138</v>
      </c>
    </row>
    <row r="369">
      <c r="A369" s="2">
        <f>IFERROR(__xludf.DUMMYFUNCTION("""COMPUTED_VALUE"""),45499.66666666667)</f>
        <v>45499.66667</v>
      </c>
      <c r="B369" s="3">
        <f>IFERROR(__xludf.DUMMYFUNCTION("""COMPUTED_VALUE"""),139.0)</f>
        <v>139</v>
      </c>
    </row>
    <row r="370">
      <c r="A370" s="2">
        <f>IFERROR(__xludf.DUMMYFUNCTION("""COMPUTED_VALUE"""),45502.66666666667)</f>
        <v>45502.66667</v>
      </c>
      <c r="B370" s="3">
        <f>IFERROR(__xludf.DUMMYFUNCTION("""COMPUTED_VALUE"""),145.0)</f>
        <v>145</v>
      </c>
    </row>
    <row r="371">
      <c r="A371" s="2">
        <f>IFERROR(__xludf.DUMMYFUNCTION("""COMPUTED_VALUE"""),45503.66666666667)</f>
        <v>45503.66667</v>
      </c>
      <c r="B371" s="3">
        <f>IFERROR(__xludf.DUMMYFUNCTION("""COMPUTED_VALUE"""),145.0)</f>
        <v>145</v>
      </c>
    </row>
    <row r="372">
      <c r="A372" s="2">
        <f>IFERROR(__xludf.DUMMYFUNCTION("""COMPUTED_VALUE"""),45504.66666666667)</f>
        <v>45504.66667</v>
      </c>
      <c r="B372" s="3">
        <f>IFERROR(__xludf.DUMMYFUNCTION("""COMPUTED_VALUE"""),152.0)</f>
        <v>152</v>
      </c>
    </row>
    <row r="373">
      <c r="A373" s="2">
        <f>IFERROR(__xludf.DUMMYFUNCTION("""COMPUTED_VALUE"""),45505.66666666667)</f>
        <v>45505.66667</v>
      </c>
      <c r="B373" s="3">
        <f>IFERROR(__xludf.DUMMYFUNCTION("""COMPUTED_VALUE"""),148.0)</f>
        <v>148</v>
      </c>
    </row>
    <row r="374">
      <c r="A374" s="2">
        <f>IFERROR(__xludf.DUMMYFUNCTION("""COMPUTED_VALUE"""),45506.66666666667)</f>
        <v>45506.66667</v>
      </c>
      <c r="B374" s="3">
        <f>IFERROR(__xludf.DUMMYFUNCTION("""COMPUTED_VALUE"""),147.0)</f>
        <v>147</v>
      </c>
    </row>
    <row r="375">
      <c r="A375" s="2">
        <f>IFERROR(__xludf.DUMMYFUNCTION("""COMPUTED_VALUE"""),45509.66666666667)</f>
        <v>45509.66667</v>
      </c>
      <c r="B375" s="3">
        <f>IFERROR(__xludf.DUMMYFUNCTION("""COMPUTED_VALUE"""),135.0)</f>
        <v>135</v>
      </c>
    </row>
    <row r="376">
      <c r="A376" s="2">
        <f>IFERROR(__xludf.DUMMYFUNCTION("""COMPUTED_VALUE"""),45510.66666666667)</f>
        <v>45510.66667</v>
      </c>
      <c r="B376" s="3">
        <f>IFERROR(__xludf.DUMMYFUNCTION("""COMPUTED_VALUE"""),141.0)</f>
        <v>141</v>
      </c>
    </row>
    <row r="377">
      <c r="A377" s="2">
        <f>IFERROR(__xludf.DUMMYFUNCTION("""COMPUTED_VALUE"""),45511.66666666667)</f>
        <v>45511.66667</v>
      </c>
      <c r="B377" s="3">
        <f>IFERROR(__xludf.DUMMYFUNCTION("""COMPUTED_VALUE"""),141.0)</f>
        <v>141</v>
      </c>
    </row>
    <row r="378">
      <c r="A378" s="2">
        <f>IFERROR(__xludf.DUMMYFUNCTION("""COMPUTED_VALUE"""),45512.66666666667)</f>
        <v>45512.66667</v>
      </c>
      <c r="B378" s="3">
        <f>IFERROR(__xludf.DUMMYFUNCTION("""COMPUTED_VALUE"""),141.0)</f>
        <v>141</v>
      </c>
    </row>
    <row r="379">
      <c r="A379" s="2">
        <f>IFERROR(__xludf.DUMMYFUNCTION("""COMPUTED_VALUE"""),45513.66666666667)</f>
        <v>45513.66667</v>
      </c>
      <c r="B379" s="3">
        <f>IFERROR(__xludf.DUMMYFUNCTION("""COMPUTED_VALUE"""),143.0)</f>
        <v>143</v>
      </c>
    </row>
    <row r="380">
      <c r="A380" s="2">
        <f>IFERROR(__xludf.DUMMYFUNCTION("""COMPUTED_VALUE"""),45516.66666666667)</f>
        <v>45516.66667</v>
      </c>
      <c r="B380" s="3">
        <f>IFERROR(__xludf.DUMMYFUNCTION("""COMPUTED_VALUE"""),143.0)</f>
        <v>143</v>
      </c>
    </row>
    <row r="381">
      <c r="A381" s="2">
        <f>IFERROR(__xludf.DUMMYFUNCTION("""COMPUTED_VALUE"""),45517.66666666667)</f>
        <v>45517.66667</v>
      </c>
      <c r="B381" s="3">
        <f>IFERROR(__xludf.DUMMYFUNCTION("""COMPUTED_VALUE"""),145.0)</f>
        <v>145</v>
      </c>
    </row>
    <row r="382">
      <c r="A382" s="2">
        <f>IFERROR(__xludf.DUMMYFUNCTION("""COMPUTED_VALUE"""),45518.66666666667)</f>
        <v>45518.66667</v>
      </c>
      <c r="B382" s="3">
        <f>IFERROR(__xludf.DUMMYFUNCTION("""COMPUTED_VALUE"""),146.0)</f>
        <v>146</v>
      </c>
    </row>
    <row r="383">
      <c r="A383" s="2">
        <f>IFERROR(__xludf.DUMMYFUNCTION("""COMPUTED_VALUE"""),45519.66666666667)</f>
        <v>45519.66667</v>
      </c>
      <c r="B383" s="3">
        <f>IFERROR(__xludf.DUMMYFUNCTION("""COMPUTED_VALUE"""),146.0)</f>
        <v>146</v>
      </c>
    </row>
    <row r="384">
      <c r="A384" s="2">
        <f>IFERROR(__xludf.DUMMYFUNCTION("""COMPUTED_VALUE"""),45520.66666666667)</f>
        <v>45520.66667</v>
      </c>
      <c r="B384" s="3">
        <f>IFERROR(__xludf.DUMMYFUNCTION("""COMPUTED_VALUE"""),146.0)</f>
        <v>146</v>
      </c>
    </row>
    <row r="385">
      <c r="A385" s="2">
        <f>IFERROR(__xludf.DUMMYFUNCTION("""COMPUTED_VALUE"""),45523.66666666667)</f>
        <v>45523.66667</v>
      </c>
      <c r="B385" s="3">
        <f>IFERROR(__xludf.DUMMYFUNCTION("""COMPUTED_VALUE"""),145.0)</f>
        <v>145</v>
      </c>
    </row>
    <row r="386">
      <c r="A386" s="2">
        <f>IFERROR(__xludf.DUMMYFUNCTION("""COMPUTED_VALUE"""),45524.66666666667)</f>
        <v>45524.66667</v>
      </c>
      <c r="B386" s="3">
        <f>IFERROR(__xludf.DUMMYFUNCTION("""COMPUTED_VALUE"""),145.0)</f>
        <v>145</v>
      </c>
    </row>
    <row r="387">
      <c r="A387" s="2">
        <f>IFERROR(__xludf.DUMMYFUNCTION("""COMPUTED_VALUE"""),45525.66666666667)</f>
        <v>45525.66667</v>
      </c>
      <c r="B387" s="3">
        <f>IFERROR(__xludf.DUMMYFUNCTION("""COMPUTED_VALUE"""),143.0)</f>
        <v>143</v>
      </c>
    </row>
    <row r="388">
      <c r="A388" s="2">
        <f>IFERROR(__xludf.DUMMYFUNCTION("""COMPUTED_VALUE"""),45526.66666666667)</f>
        <v>45526.66667</v>
      </c>
      <c r="B388" s="3">
        <f>IFERROR(__xludf.DUMMYFUNCTION("""COMPUTED_VALUE"""),138.0)</f>
        <v>138</v>
      </c>
    </row>
    <row r="389">
      <c r="A389" s="2">
        <f>IFERROR(__xludf.DUMMYFUNCTION("""COMPUTED_VALUE"""),45527.66666666667)</f>
        <v>45527.66667</v>
      </c>
      <c r="B389" s="3">
        <f>IFERROR(__xludf.DUMMYFUNCTION("""COMPUTED_VALUE"""),143.0)</f>
        <v>143</v>
      </c>
    </row>
    <row r="390">
      <c r="A390" s="2">
        <f>IFERROR(__xludf.DUMMYFUNCTION("""COMPUTED_VALUE"""),45530.66666666667)</f>
        <v>45530.66667</v>
      </c>
      <c r="B390" s="3">
        <f>IFERROR(__xludf.DUMMYFUNCTION("""COMPUTED_VALUE"""),144.0)</f>
        <v>144</v>
      </c>
    </row>
    <row r="391">
      <c r="A391" s="2">
        <f>IFERROR(__xludf.DUMMYFUNCTION("""COMPUTED_VALUE"""),45531.66666666667)</f>
        <v>45531.66667</v>
      </c>
      <c r="B391" s="3">
        <f>IFERROR(__xludf.DUMMYFUNCTION("""COMPUTED_VALUE"""),140.0)</f>
        <v>140</v>
      </c>
    </row>
    <row r="392">
      <c r="A392" s="2">
        <f>IFERROR(__xludf.DUMMYFUNCTION("""COMPUTED_VALUE"""),45532.66666666667)</f>
        <v>45532.66667</v>
      </c>
      <c r="B392" s="3">
        <f>IFERROR(__xludf.DUMMYFUNCTION("""COMPUTED_VALUE"""),156.0)</f>
        <v>156</v>
      </c>
    </row>
    <row r="393">
      <c r="A393" s="2">
        <f>IFERROR(__xludf.DUMMYFUNCTION("""COMPUTED_VALUE"""),45533.66666666667)</f>
        <v>45533.66667</v>
      </c>
      <c r="B393" s="3">
        <f>IFERROR(__xludf.DUMMYFUNCTION("""COMPUTED_VALUE"""),149.0)</f>
        <v>149</v>
      </c>
    </row>
    <row r="394">
      <c r="A394" s="2">
        <f>IFERROR(__xludf.DUMMYFUNCTION("""COMPUTED_VALUE"""),45534.66666666667)</f>
        <v>45534.66667</v>
      </c>
      <c r="B394" s="3">
        <f>IFERROR(__xludf.DUMMYFUNCTION("""COMPUTED_VALUE"""),168.0)</f>
        <v>168</v>
      </c>
    </row>
    <row r="395">
      <c r="A395" s="2">
        <f>IFERROR(__xludf.DUMMYFUNCTION("""COMPUTED_VALUE"""),45537.66666666667)</f>
        <v>45537.66667</v>
      </c>
      <c r="B395" s="3">
        <f>IFERROR(__xludf.DUMMYFUNCTION("""COMPUTED_VALUE"""),170.0)</f>
        <v>170</v>
      </c>
    </row>
    <row r="396">
      <c r="A396" s="2">
        <f>IFERROR(__xludf.DUMMYFUNCTION("""COMPUTED_VALUE"""),45538.66666666667)</f>
        <v>45538.66667</v>
      </c>
      <c r="B396" s="3">
        <f>IFERROR(__xludf.DUMMYFUNCTION("""COMPUTED_VALUE"""),166.0)</f>
        <v>166</v>
      </c>
    </row>
    <row r="397">
      <c r="A397" s="2">
        <f>IFERROR(__xludf.DUMMYFUNCTION("""COMPUTED_VALUE"""),45539.66666666667)</f>
        <v>45539.66667</v>
      </c>
      <c r="B397" s="3">
        <f>IFERROR(__xludf.DUMMYFUNCTION("""COMPUTED_VALUE"""),162.0)</f>
        <v>162</v>
      </c>
    </row>
    <row r="398">
      <c r="A398" s="2">
        <f>IFERROR(__xludf.DUMMYFUNCTION("""COMPUTED_VALUE"""),45540.66666666667)</f>
        <v>45540.66667</v>
      </c>
      <c r="B398" s="3">
        <f>IFERROR(__xludf.DUMMYFUNCTION("""COMPUTED_VALUE"""),161.0)</f>
        <v>161</v>
      </c>
    </row>
    <row r="399">
      <c r="A399" s="2">
        <f>IFERROR(__xludf.DUMMYFUNCTION("""COMPUTED_VALUE"""),45541.66666666667)</f>
        <v>45541.66667</v>
      </c>
      <c r="B399" s="3">
        <f>IFERROR(__xludf.DUMMYFUNCTION("""COMPUTED_VALUE"""),162.0)</f>
        <v>162</v>
      </c>
    </row>
    <row r="400">
      <c r="A400" s="2">
        <f>IFERROR(__xludf.DUMMYFUNCTION("""COMPUTED_VALUE"""),45544.66666666667)</f>
        <v>45544.66667</v>
      </c>
      <c r="B400" s="3">
        <f>IFERROR(__xludf.DUMMYFUNCTION("""COMPUTED_VALUE"""),159.0)</f>
        <v>159</v>
      </c>
    </row>
    <row r="401">
      <c r="A401" s="2">
        <f>IFERROR(__xludf.DUMMYFUNCTION("""COMPUTED_VALUE"""),45545.66666666667)</f>
        <v>45545.66667</v>
      </c>
      <c r="B401" s="3">
        <f>IFERROR(__xludf.DUMMYFUNCTION("""COMPUTED_VALUE"""),160.0)</f>
        <v>160</v>
      </c>
    </row>
    <row r="402">
      <c r="A402" s="2">
        <f>IFERROR(__xludf.DUMMYFUNCTION("""COMPUTED_VALUE"""),45546.66666666667)</f>
        <v>45546.66667</v>
      </c>
      <c r="B402" s="3">
        <f>IFERROR(__xludf.DUMMYFUNCTION("""COMPUTED_VALUE"""),156.0)</f>
        <v>156</v>
      </c>
    </row>
    <row r="403">
      <c r="A403" s="2">
        <f>IFERROR(__xludf.DUMMYFUNCTION("""COMPUTED_VALUE"""),45547.66666666667)</f>
        <v>45547.66667</v>
      </c>
      <c r="B403" s="3">
        <f>IFERROR(__xludf.DUMMYFUNCTION("""COMPUTED_VALUE"""),154.0)</f>
        <v>154</v>
      </c>
    </row>
    <row r="404">
      <c r="A404" s="2">
        <f>IFERROR(__xludf.DUMMYFUNCTION("""COMPUTED_VALUE"""),45548.66666666667)</f>
        <v>45548.66667</v>
      </c>
      <c r="B404" s="3">
        <f>IFERROR(__xludf.DUMMYFUNCTION("""COMPUTED_VALUE"""),159.0)</f>
        <v>159</v>
      </c>
    </row>
    <row r="405">
      <c r="A405" s="2">
        <f>IFERROR(__xludf.DUMMYFUNCTION("""COMPUTED_VALUE"""),45552.66666666667)</f>
        <v>45552.66667</v>
      </c>
      <c r="B405" s="3">
        <f>IFERROR(__xludf.DUMMYFUNCTION("""COMPUTED_VALUE"""),158.0)</f>
        <v>158</v>
      </c>
    </row>
    <row r="406">
      <c r="A406" s="2">
        <f>IFERROR(__xludf.DUMMYFUNCTION("""COMPUTED_VALUE"""),45553.66666666667)</f>
        <v>45553.66667</v>
      </c>
      <c r="B406" s="3">
        <f>IFERROR(__xludf.DUMMYFUNCTION("""COMPUTED_VALUE"""),159.0)</f>
        <v>159</v>
      </c>
    </row>
    <row r="407">
      <c r="A407" s="2">
        <f>IFERROR(__xludf.DUMMYFUNCTION("""COMPUTED_VALUE"""),45554.66666666667)</f>
        <v>45554.66667</v>
      </c>
      <c r="B407" s="3">
        <f>IFERROR(__xludf.DUMMYFUNCTION("""COMPUTED_VALUE"""),160.0)</f>
        <v>160</v>
      </c>
    </row>
    <row r="408">
      <c r="A408" s="2">
        <f>IFERROR(__xludf.DUMMYFUNCTION("""COMPUTED_VALUE"""),45555.66666666667)</f>
        <v>45555.66667</v>
      </c>
      <c r="B408" s="3">
        <f>IFERROR(__xludf.DUMMYFUNCTION("""COMPUTED_VALUE"""),163.0)</f>
        <v>163</v>
      </c>
    </row>
    <row r="409">
      <c r="A409" s="2">
        <f>IFERROR(__xludf.DUMMYFUNCTION("""COMPUTED_VALUE"""),45558.66666666667)</f>
        <v>45558.66667</v>
      </c>
      <c r="B409" s="3">
        <f>IFERROR(__xludf.DUMMYFUNCTION("""COMPUTED_VALUE"""),161.0)</f>
        <v>161</v>
      </c>
    </row>
    <row r="410">
      <c r="A410" s="2">
        <f>IFERROR(__xludf.DUMMYFUNCTION("""COMPUTED_VALUE"""),45559.66666666667)</f>
        <v>45559.66667</v>
      </c>
      <c r="B410" s="3">
        <f>IFERROR(__xludf.DUMMYFUNCTION("""COMPUTED_VALUE"""),160.0)</f>
        <v>160</v>
      </c>
    </row>
    <row r="411">
      <c r="A411" s="2">
        <f>IFERROR(__xludf.DUMMYFUNCTION("""COMPUTED_VALUE"""),45560.66666666667)</f>
        <v>45560.66667</v>
      </c>
      <c r="B411" s="3">
        <f>IFERROR(__xludf.DUMMYFUNCTION("""COMPUTED_VALUE"""),157.0)</f>
        <v>157</v>
      </c>
    </row>
    <row r="412">
      <c r="A412" s="2">
        <f>IFERROR(__xludf.DUMMYFUNCTION("""COMPUTED_VALUE"""),45561.66666666667)</f>
        <v>45561.66667</v>
      </c>
      <c r="B412" s="3">
        <f>IFERROR(__xludf.DUMMYFUNCTION("""COMPUTED_VALUE"""),155.0)</f>
        <v>155</v>
      </c>
    </row>
    <row r="413">
      <c r="A413" s="2">
        <f>IFERROR(__xludf.DUMMYFUNCTION("""COMPUTED_VALUE"""),45562.66666666667)</f>
        <v>45562.66667</v>
      </c>
      <c r="B413" s="3">
        <f>IFERROR(__xludf.DUMMYFUNCTION("""COMPUTED_VALUE"""),154.0)</f>
        <v>154</v>
      </c>
    </row>
    <row r="414">
      <c r="A414" s="2">
        <f>IFERROR(__xludf.DUMMYFUNCTION("""COMPUTED_VALUE"""),45565.66666666667)</f>
        <v>45565.66667</v>
      </c>
      <c r="B414" s="3">
        <f>IFERROR(__xludf.DUMMYFUNCTION("""COMPUTED_VALUE"""),153.0)</f>
        <v>153</v>
      </c>
    </row>
    <row r="415">
      <c r="A415" s="2">
        <f>IFERROR(__xludf.DUMMYFUNCTION("""COMPUTED_VALUE"""),45566.66666666667)</f>
        <v>45566.66667</v>
      </c>
      <c r="B415" s="3">
        <f>IFERROR(__xludf.DUMMYFUNCTION("""COMPUTED_VALUE"""),151.0)</f>
        <v>151</v>
      </c>
    </row>
    <row r="416">
      <c r="A416" s="2">
        <f>IFERROR(__xludf.DUMMYFUNCTION("""COMPUTED_VALUE"""),45567.66666666667)</f>
        <v>45567.66667</v>
      </c>
      <c r="B416" s="3">
        <f>IFERROR(__xludf.DUMMYFUNCTION("""COMPUTED_VALUE"""),162.0)</f>
        <v>162</v>
      </c>
    </row>
    <row r="417">
      <c r="A417" s="2">
        <f>IFERROR(__xludf.DUMMYFUNCTION("""COMPUTED_VALUE"""),45568.66666666667)</f>
        <v>45568.66667</v>
      </c>
      <c r="B417" s="3">
        <f>IFERROR(__xludf.DUMMYFUNCTION("""COMPUTED_VALUE"""),157.0)</f>
        <v>157</v>
      </c>
    </row>
    <row r="418">
      <c r="A418" s="2">
        <f>IFERROR(__xludf.DUMMYFUNCTION("""COMPUTED_VALUE"""),45569.66666666667)</f>
        <v>45569.66667</v>
      </c>
      <c r="B418" s="3">
        <f>IFERROR(__xludf.DUMMYFUNCTION("""COMPUTED_VALUE"""),161.0)</f>
        <v>161</v>
      </c>
    </row>
    <row r="419">
      <c r="A419" s="2">
        <f>IFERROR(__xludf.DUMMYFUNCTION("""COMPUTED_VALUE"""),45572.66666666667)</f>
        <v>45572.66667</v>
      </c>
      <c r="B419" s="3">
        <f>IFERROR(__xludf.DUMMYFUNCTION("""COMPUTED_VALUE"""),160.0)</f>
        <v>160</v>
      </c>
    </row>
    <row r="420">
      <c r="A420" s="2">
        <f>IFERROR(__xludf.DUMMYFUNCTION("""COMPUTED_VALUE"""),45573.66666666667)</f>
        <v>45573.66667</v>
      </c>
      <c r="B420" s="3">
        <f>IFERROR(__xludf.DUMMYFUNCTION("""COMPUTED_VALUE"""),159.0)</f>
        <v>159</v>
      </c>
    </row>
    <row r="421">
      <c r="A421" s="2">
        <f>IFERROR(__xludf.DUMMYFUNCTION("""COMPUTED_VALUE"""),45574.66666666667)</f>
        <v>45574.66667</v>
      </c>
      <c r="B421" s="3">
        <f>IFERROR(__xludf.DUMMYFUNCTION("""COMPUTED_VALUE"""),154.0)</f>
        <v>154</v>
      </c>
    </row>
    <row r="422">
      <c r="A422" s="2">
        <f>IFERROR(__xludf.DUMMYFUNCTION("""COMPUTED_VALUE"""),45575.66666666667)</f>
        <v>45575.66667</v>
      </c>
      <c r="B422" s="3">
        <f>IFERROR(__xludf.DUMMYFUNCTION("""COMPUTED_VALUE"""),153.0)</f>
        <v>153</v>
      </c>
    </row>
    <row r="423">
      <c r="A423" s="2">
        <f>IFERROR(__xludf.DUMMYFUNCTION("""COMPUTED_VALUE"""),45576.66666666667)</f>
        <v>45576.66667</v>
      </c>
      <c r="B423" s="3">
        <f>IFERROR(__xludf.DUMMYFUNCTION("""COMPUTED_VALUE"""),158.0)</f>
        <v>158</v>
      </c>
    </row>
    <row r="424">
      <c r="A424" s="2">
        <f>IFERROR(__xludf.DUMMYFUNCTION("""COMPUTED_VALUE"""),45579.66666666667)</f>
        <v>45579.66667</v>
      </c>
      <c r="B424" s="3">
        <f>IFERROR(__xludf.DUMMYFUNCTION("""COMPUTED_VALUE"""),161.0)</f>
        <v>161</v>
      </c>
    </row>
    <row r="425">
      <c r="A425" s="2">
        <f>IFERROR(__xludf.DUMMYFUNCTION("""COMPUTED_VALUE"""),45580.66666666667)</f>
        <v>45580.66667</v>
      </c>
      <c r="B425" s="3">
        <f>IFERROR(__xludf.DUMMYFUNCTION("""COMPUTED_VALUE"""),159.0)</f>
        <v>159</v>
      </c>
    </row>
    <row r="426">
      <c r="A426" s="2">
        <f>IFERROR(__xludf.DUMMYFUNCTION("""COMPUTED_VALUE"""),45581.66666666667)</f>
        <v>45581.66667</v>
      </c>
      <c r="B426" s="3">
        <f>IFERROR(__xludf.DUMMYFUNCTION("""COMPUTED_VALUE"""),158.0)</f>
        <v>158</v>
      </c>
    </row>
    <row r="427">
      <c r="A427" s="2">
        <f>IFERROR(__xludf.DUMMYFUNCTION("""COMPUTED_VALUE"""),45582.66666666667)</f>
        <v>45582.66667</v>
      </c>
      <c r="B427" s="3">
        <f>IFERROR(__xludf.DUMMYFUNCTION("""COMPUTED_VALUE"""),157.0)</f>
        <v>157</v>
      </c>
    </row>
    <row r="428">
      <c r="A428" s="2">
        <f>IFERROR(__xludf.DUMMYFUNCTION("""COMPUTED_VALUE"""),45583.66666666667)</f>
        <v>45583.66667</v>
      </c>
      <c r="B428" s="3">
        <f>IFERROR(__xludf.DUMMYFUNCTION("""COMPUTED_VALUE"""),158.0)</f>
        <v>158</v>
      </c>
    </row>
    <row r="429">
      <c r="A429" s="2">
        <f>IFERROR(__xludf.DUMMYFUNCTION("""COMPUTED_VALUE"""),45586.66666666667)</f>
        <v>45586.66667</v>
      </c>
      <c r="B429" s="3">
        <f>IFERROR(__xludf.DUMMYFUNCTION("""COMPUTED_VALUE"""),160.0)</f>
        <v>160</v>
      </c>
    </row>
    <row r="430">
      <c r="A430" s="2">
        <f>IFERROR(__xludf.DUMMYFUNCTION("""COMPUTED_VALUE"""),45587.66666666667)</f>
        <v>45587.66667</v>
      </c>
      <c r="B430" s="3">
        <f>IFERROR(__xludf.DUMMYFUNCTION("""COMPUTED_VALUE"""),158.0)</f>
        <v>158</v>
      </c>
    </row>
    <row r="431">
      <c r="A431" s="2">
        <f>IFERROR(__xludf.DUMMYFUNCTION("""COMPUTED_VALUE"""),45588.66666666667)</f>
        <v>45588.66667</v>
      </c>
      <c r="B431" s="3">
        <f>IFERROR(__xludf.DUMMYFUNCTION("""COMPUTED_VALUE"""),164.0)</f>
        <v>164</v>
      </c>
    </row>
    <row r="432">
      <c r="A432" s="2">
        <f>IFERROR(__xludf.DUMMYFUNCTION("""COMPUTED_VALUE"""),45589.66666666667)</f>
        <v>45589.66667</v>
      </c>
      <c r="B432" s="3">
        <f>IFERROR(__xludf.DUMMYFUNCTION("""COMPUTED_VALUE"""),161.0)</f>
        <v>161</v>
      </c>
    </row>
    <row r="433">
      <c r="A433" s="2">
        <f>IFERROR(__xludf.DUMMYFUNCTION("""COMPUTED_VALUE"""),45590.66666666667)</f>
        <v>45590.66667</v>
      </c>
      <c r="B433" s="3">
        <f>IFERROR(__xludf.DUMMYFUNCTION("""COMPUTED_VALUE"""),162.0)</f>
        <v>162</v>
      </c>
    </row>
    <row r="434">
      <c r="A434" s="2">
        <f>IFERROR(__xludf.DUMMYFUNCTION("""COMPUTED_VALUE"""),45593.66666666667)</f>
        <v>45593.66667</v>
      </c>
      <c r="B434" s="3">
        <f>IFERROR(__xludf.DUMMYFUNCTION("""COMPUTED_VALUE"""),160.0)</f>
        <v>160</v>
      </c>
    </row>
    <row r="435">
      <c r="A435" s="2">
        <f>IFERROR(__xludf.DUMMYFUNCTION("""COMPUTED_VALUE"""),45594.66666666667)</f>
        <v>45594.66667</v>
      </c>
      <c r="B435" s="3">
        <f>IFERROR(__xludf.DUMMYFUNCTION("""COMPUTED_VALUE"""),159.0)</f>
        <v>159</v>
      </c>
    </row>
    <row r="436">
      <c r="A436" s="2">
        <f>IFERROR(__xludf.DUMMYFUNCTION("""COMPUTED_VALUE"""),45595.66666666667)</f>
        <v>45595.66667</v>
      </c>
      <c r="B436" s="3">
        <f>IFERROR(__xludf.DUMMYFUNCTION("""COMPUTED_VALUE"""),158.0)</f>
        <v>158</v>
      </c>
    </row>
    <row r="437">
      <c r="A437" s="2">
        <f>IFERROR(__xludf.DUMMYFUNCTION("""COMPUTED_VALUE"""),45596.66666666667)</f>
        <v>45596.66667</v>
      </c>
      <c r="B437" s="3">
        <f>IFERROR(__xludf.DUMMYFUNCTION("""COMPUTED_VALUE"""),157.0)</f>
        <v>157</v>
      </c>
    </row>
    <row r="438">
      <c r="A438" s="2">
        <f>IFERROR(__xludf.DUMMYFUNCTION("""COMPUTED_VALUE"""),45597.66666666667)</f>
        <v>45597.66667</v>
      </c>
      <c r="B438" s="3">
        <f>IFERROR(__xludf.DUMMYFUNCTION("""COMPUTED_VALUE"""),159.0)</f>
        <v>159</v>
      </c>
    </row>
    <row r="439">
      <c r="A439" s="2">
        <f>IFERROR(__xludf.DUMMYFUNCTION("""COMPUTED_VALUE"""),45600.66666666667)</f>
        <v>45600.66667</v>
      </c>
      <c r="B439" s="3">
        <f>IFERROR(__xludf.DUMMYFUNCTION("""COMPUTED_VALUE"""),157.0)</f>
        <v>157</v>
      </c>
    </row>
    <row r="440">
      <c r="A440" s="2">
        <f>IFERROR(__xludf.DUMMYFUNCTION("""COMPUTED_VALUE"""),45601.66666666667)</f>
        <v>45601.66667</v>
      </c>
      <c r="B440" s="3">
        <f>IFERROR(__xludf.DUMMYFUNCTION("""COMPUTED_VALUE"""),145.0)</f>
        <v>145</v>
      </c>
    </row>
    <row r="441">
      <c r="A441" s="2">
        <f>IFERROR(__xludf.DUMMYFUNCTION("""COMPUTED_VALUE"""),45602.66666666667)</f>
        <v>45602.66667</v>
      </c>
      <c r="B441" s="3">
        <f>IFERROR(__xludf.DUMMYFUNCTION("""COMPUTED_VALUE"""),146.0)</f>
        <v>146</v>
      </c>
    </row>
    <row r="442">
      <c r="A442" s="2">
        <f>IFERROR(__xludf.DUMMYFUNCTION("""COMPUTED_VALUE"""),45603.66666666667)</f>
        <v>45603.66667</v>
      </c>
      <c r="B442" s="3">
        <f>IFERROR(__xludf.DUMMYFUNCTION("""COMPUTED_VALUE"""),148.0)</f>
        <v>148</v>
      </c>
    </row>
    <row r="443">
      <c r="A443" s="2">
        <f>IFERROR(__xludf.DUMMYFUNCTION("""COMPUTED_VALUE"""),45604.66666666667)</f>
        <v>45604.66667</v>
      </c>
      <c r="B443" s="3">
        <f>IFERROR(__xludf.DUMMYFUNCTION("""COMPUTED_VALUE"""),153.0)</f>
        <v>153</v>
      </c>
    </row>
    <row r="444">
      <c r="A444" s="2">
        <f>IFERROR(__xludf.DUMMYFUNCTION("""COMPUTED_VALUE"""),45607.66666666667)</f>
        <v>45607.66667</v>
      </c>
      <c r="B444" s="3">
        <f>IFERROR(__xludf.DUMMYFUNCTION("""COMPUTED_VALUE"""),144.0)</f>
        <v>144</v>
      </c>
    </row>
    <row r="445">
      <c r="A445" s="2">
        <f>IFERROR(__xludf.DUMMYFUNCTION("""COMPUTED_VALUE"""),45608.66666666667)</f>
        <v>45608.66667</v>
      </c>
      <c r="B445" s="3">
        <f>IFERROR(__xludf.DUMMYFUNCTION("""COMPUTED_VALUE"""),143.0)</f>
        <v>143</v>
      </c>
    </row>
    <row r="446">
      <c r="A446" s="2">
        <f>IFERROR(__xludf.DUMMYFUNCTION("""COMPUTED_VALUE"""),45609.66666666667)</f>
        <v>45609.66667</v>
      </c>
      <c r="B446" s="3">
        <f>IFERROR(__xludf.DUMMYFUNCTION("""COMPUTED_VALUE"""),141.0)</f>
        <v>141</v>
      </c>
    </row>
    <row r="447">
      <c r="A447" s="2">
        <f>IFERROR(__xludf.DUMMYFUNCTION("""COMPUTED_VALUE"""),45610.66666666667)</f>
        <v>45610.66667</v>
      </c>
      <c r="B447" s="3">
        <f>IFERROR(__xludf.DUMMYFUNCTION("""COMPUTED_VALUE"""),133.0)</f>
        <v>133</v>
      </c>
    </row>
    <row r="448">
      <c r="A448" s="2">
        <f>IFERROR(__xludf.DUMMYFUNCTION("""COMPUTED_VALUE"""),45611.66666666667)</f>
        <v>45611.66667</v>
      </c>
      <c r="B448" s="3">
        <f>IFERROR(__xludf.DUMMYFUNCTION("""COMPUTED_VALUE"""),133.0)</f>
        <v>133</v>
      </c>
    </row>
    <row r="449">
      <c r="A449" s="2">
        <f>IFERROR(__xludf.DUMMYFUNCTION("""COMPUTED_VALUE"""),45614.66666666667)</f>
        <v>45614.66667</v>
      </c>
      <c r="B449" s="3">
        <f>IFERROR(__xludf.DUMMYFUNCTION("""COMPUTED_VALUE"""),132.0)</f>
        <v>132</v>
      </c>
    </row>
    <row r="450">
      <c r="A450" s="2">
        <f>IFERROR(__xludf.DUMMYFUNCTION("""COMPUTED_VALUE"""),45615.66666666667)</f>
        <v>45615.66667</v>
      </c>
      <c r="B450" s="3">
        <f>IFERROR(__xludf.DUMMYFUNCTION("""COMPUTED_VALUE"""),134.0)</f>
        <v>134</v>
      </c>
    </row>
    <row r="451">
      <c r="A451" s="2">
        <f>IFERROR(__xludf.DUMMYFUNCTION("""COMPUTED_VALUE"""),45616.66666666667)</f>
        <v>45616.66667</v>
      </c>
      <c r="B451" s="3">
        <f>IFERROR(__xludf.DUMMYFUNCTION("""COMPUTED_VALUE"""),136.0)</f>
        <v>136</v>
      </c>
    </row>
    <row r="452">
      <c r="A452" s="2">
        <f>IFERROR(__xludf.DUMMYFUNCTION("""COMPUTED_VALUE"""),45617.66666666667)</f>
        <v>45617.66667</v>
      </c>
      <c r="B452" s="3">
        <f>IFERROR(__xludf.DUMMYFUNCTION("""COMPUTED_VALUE"""),139.0)</f>
        <v>139</v>
      </c>
    </row>
    <row r="453">
      <c r="A453" s="2">
        <f>IFERROR(__xludf.DUMMYFUNCTION("""COMPUTED_VALUE"""),45618.66666666667)</f>
        <v>45618.66667</v>
      </c>
      <c r="B453" s="3">
        <f>IFERROR(__xludf.DUMMYFUNCTION("""COMPUTED_VALUE"""),139.0)</f>
        <v>139</v>
      </c>
    </row>
    <row r="454">
      <c r="A454" s="2">
        <f>IFERROR(__xludf.DUMMYFUNCTION("""COMPUTED_VALUE"""),45621.66666666667)</f>
        <v>45621.66667</v>
      </c>
      <c r="B454" s="3">
        <f>IFERROR(__xludf.DUMMYFUNCTION("""COMPUTED_VALUE"""),137.0)</f>
        <v>137</v>
      </c>
    </row>
    <row r="455">
      <c r="A455" s="2">
        <f>IFERROR(__xludf.DUMMYFUNCTION("""COMPUTED_VALUE"""),45622.66666666667)</f>
        <v>45622.66667</v>
      </c>
      <c r="B455" s="3">
        <f>IFERROR(__xludf.DUMMYFUNCTION("""COMPUTED_VALUE"""),135.0)</f>
        <v>135</v>
      </c>
    </row>
    <row r="456">
      <c r="A456" s="2">
        <f>IFERROR(__xludf.DUMMYFUNCTION("""COMPUTED_VALUE"""),45624.66666666667)</f>
        <v>45624.66667</v>
      </c>
      <c r="B456" s="3">
        <f>IFERROR(__xludf.DUMMYFUNCTION("""COMPUTED_VALUE"""),136.0)</f>
        <v>136</v>
      </c>
    </row>
    <row r="457">
      <c r="A457" s="2">
        <f>IFERROR(__xludf.DUMMYFUNCTION("""COMPUTED_VALUE"""),45625.66666666667)</f>
        <v>45625.66667</v>
      </c>
      <c r="B457" s="3">
        <f>IFERROR(__xludf.DUMMYFUNCTION("""COMPUTED_VALUE"""),133.0)</f>
        <v>133</v>
      </c>
    </row>
    <row r="458">
      <c r="A458" s="2">
        <f>IFERROR(__xludf.DUMMYFUNCTION("""COMPUTED_VALUE"""),45628.66666666667)</f>
        <v>45628.66667</v>
      </c>
      <c r="B458" s="3">
        <f>IFERROR(__xludf.DUMMYFUNCTION("""COMPUTED_VALUE"""),134.0)</f>
        <v>134</v>
      </c>
    </row>
    <row r="459">
      <c r="A459" s="2">
        <f>IFERROR(__xludf.DUMMYFUNCTION("""COMPUTED_VALUE"""),45629.66666666667)</f>
        <v>45629.66667</v>
      </c>
      <c r="B459" s="3">
        <f>IFERROR(__xludf.DUMMYFUNCTION("""COMPUTED_VALUE"""),133.0)</f>
        <v>133</v>
      </c>
    </row>
    <row r="460">
      <c r="A460" s="2">
        <f>IFERROR(__xludf.DUMMYFUNCTION("""COMPUTED_VALUE"""),45630.66666666667)</f>
        <v>45630.66667</v>
      </c>
      <c r="B460" s="3">
        <f>IFERROR(__xludf.DUMMYFUNCTION("""COMPUTED_VALUE"""),134.0)</f>
        <v>134</v>
      </c>
    </row>
    <row r="461">
      <c r="A461" s="2">
        <f>IFERROR(__xludf.DUMMYFUNCTION("""COMPUTED_VALUE"""),45631.66666666667)</f>
        <v>45631.66667</v>
      </c>
      <c r="B461" s="3">
        <f>IFERROR(__xludf.DUMMYFUNCTION("""COMPUTED_VALUE"""),134.0)</f>
        <v>134</v>
      </c>
    </row>
    <row r="462">
      <c r="A462" s="2">
        <f>IFERROR(__xludf.DUMMYFUNCTION("""COMPUTED_VALUE"""),45632.66666666667)</f>
        <v>45632.66667</v>
      </c>
      <c r="B462" s="3">
        <f>IFERROR(__xludf.DUMMYFUNCTION("""COMPUTED_VALUE"""),134.0)</f>
        <v>134</v>
      </c>
    </row>
    <row r="463">
      <c r="A463" s="2">
        <f>IFERROR(__xludf.DUMMYFUNCTION("""COMPUTED_VALUE"""),45635.66666666667)</f>
        <v>45635.66667</v>
      </c>
      <c r="B463" s="3">
        <f>IFERROR(__xludf.DUMMYFUNCTION("""COMPUTED_VALUE"""),134.0)</f>
        <v>134</v>
      </c>
    </row>
    <row r="464">
      <c r="A464" s="2">
        <f>IFERROR(__xludf.DUMMYFUNCTION("""COMPUTED_VALUE"""),45636.66666666667)</f>
        <v>45636.66667</v>
      </c>
      <c r="B464" s="3">
        <f>IFERROR(__xludf.DUMMYFUNCTION("""COMPUTED_VALUE"""),133.0)</f>
        <v>133</v>
      </c>
    </row>
    <row r="465">
      <c r="A465" s="2">
        <f>IFERROR(__xludf.DUMMYFUNCTION("""COMPUTED_VALUE"""),45637.66666666667)</f>
        <v>45637.66667</v>
      </c>
      <c r="B465" s="3">
        <f>IFERROR(__xludf.DUMMYFUNCTION("""COMPUTED_VALUE"""),132.0)</f>
        <v>132</v>
      </c>
    </row>
    <row r="466">
      <c r="A466" s="2">
        <f>IFERROR(__xludf.DUMMYFUNCTION("""COMPUTED_VALUE"""),45638.66666666667)</f>
        <v>45638.66667</v>
      </c>
      <c r="B466" s="3">
        <f>IFERROR(__xludf.DUMMYFUNCTION("""COMPUTED_VALUE"""),131.0)</f>
        <v>131</v>
      </c>
    </row>
    <row r="467">
      <c r="A467" s="2">
        <f>IFERROR(__xludf.DUMMYFUNCTION("""COMPUTED_VALUE"""),45639.66666666667)</f>
        <v>45639.66667</v>
      </c>
      <c r="B467" s="3">
        <f>IFERROR(__xludf.DUMMYFUNCTION("""COMPUTED_VALUE"""),131.0)</f>
        <v>131</v>
      </c>
    </row>
    <row r="468">
      <c r="A468" s="2">
        <f>IFERROR(__xludf.DUMMYFUNCTION("""COMPUTED_VALUE"""),45642.66666666667)</f>
        <v>45642.66667</v>
      </c>
      <c r="B468" s="3">
        <f>IFERROR(__xludf.DUMMYFUNCTION("""COMPUTED_VALUE"""),127.0)</f>
        <v>127</v>
      </c>
    </row>
    <row r="469">
      <c r="A469" s="2">
        <f>IFERROR(__xludf.DUMMYFUNCTION("""COMPUTED_VALUE"""),45643.66666666667)</f>
        <v>45643.66667</v>
      </c>
      <c r="B469" s="3">
        <f>IFERROR(__xludf.DUMMYFUNCTION("""COMPUTED_VALUE"""),127.0)</f>
        <v>127</v>
      </c>
    </row>
    <row r="470">
      <c r="A470" s="2">
        <f>IFERROR(__xludf.DUMMYFUNCTION("""COMPUTED_VALUE"""),45644.66666666667)</f>
        <v>45644.66667</v>
      </c>
      <c r="B470" s="3">
        <f>IFERROR(__xludf.DUMMYFUNCTION("""COMPUTED_VALUE"""),125.0)</f>
        <v>125</v>
      </c>
    </row>
    <row r="471">
      <c r="A471" s="2">
        <f>IFERROR(__xludf.DUMMYFUNCTION("""COMPUTED_VALUE"""),45645.66666666667)</f>
        <v>45645.66667</v>
      </c>
      <c r="B471" s="3">
        <f>IFERROR(__xludf.DUMMYFUNCTION("""COMPUTED_VALUE"""),119.0)</f>
        <v>119</v>
      </c>
    </row>
    <row r="472">
      <c r="A472" s="2">
        <f>IFERROR(__xludf.DUMMYFUNCTION("""COMPUTED_VALUE"""),45646.66666666667)</f>
        <v>45646.66667</v>
      </c>
      <c r="B472" s="3">
        <f>IFERROR(__xludf.DUMMYFUNCTION("""COMPUTED_VALUE"""),120.0)</f>
        <v>120</v>
      </c>
    </row>
    <row r="473">
      <c r="A473" s="2">
        <f>IFERROR(__xludf.DUMMYFUNCTION("""COMPUTED_VALUE"""),45649.66666666667)</f>
        <v>45649.66667</v>
      </c>
      <c r="B473" s="3">
        <f>IFERROR(__xludf.DUMMYFUNCTION("""COMPUTED_VALUE"""),118.0)</f>
        <v>118</v>
      </c>
    </row>
    <row r="474">
      <c r="A474" s="2">
        <f>IFERROR(__xludf.DUMMYFUNCTION("""COMPUTED_VALUE"""),45650.66666666667)</f>
        <v>45650.66667</v>
      </c>
      <c r="B474" s="3">
        <f>IFERROR(__xludf.DUMMYFUNCTION("""COMPUTED_VALUE"""),121.0)</f>
        <v>121</v>
      </c>
    </row>
    <row r="475">
      <c r="A475" s="2">
        <f>IFERROR(__xludf.DUMMYFUNCTION("""COMPUTED_VALUE"""),45653.66666666667)</f>
        <v>45653.66667</v>
      </c>
      <c r="B475" s="3">
        <f>IFERROR(__xludf.DUMMYFUNCTION("""COMPUTED_VALUE"""),123.0)</f>
        <v>123</v>
      </c>
    </row>
    <row r="476">
      <c r="A476" s="2">
        <f>IFERROR(__xludf.DUMMYFUNCTION("""COMPUTED_VALUE"""),45656.66666666667)</f>
        <v>45656.66667</v>
      </c>
      <c r="B476" s="3">
        <f>IFERROR(__xludf.DUMMYFUNCTION("""COMPUTED_VALUE"""),120.0)</f>
        <v>120</v>
      </c>
    </row>
    <row r="477">
      <c r="A477" s="2">
        <f>IFERROR(__xludf.DUMMYFUNCTION("""COMPUTED_VALUE"""),45659.66666666667)</f>
        <v>45659.66667</v>
      </c>
      <c r="B477" s="3">
        <f>IFERROR(__xludf.DUMMYFUNCTION("""COMPUTED_VALUE"""),121.0)</f>
        <v>121</v>
      </c>
    </row>
    <row r="478">
      <c r="A478" s="2">
        <f>IFERROR(__xludf.DUMMYFUNCTION("""COMPUTED_VALUE"""),45660.66666666667)</f>
        <v>45660.66667</v>
      </c>
      <c r="B478" s="3">
        <f>IFERROR(__xludf.DUMMYFUNCTION("""COMPUTED_VALUE"""),123.0)</f>
        <v>123</v>
      </c>
    </row>
    <row r="479">
      <c r="A479" s="2">
        <f>IFERROR(__xludf.DUMMYFUNCTION("""COMPUTED_VALUE"""),45663.66666666667)</f>
        <v>45663.66667</v>
      </c>
      <c r="B479" s="3">
        <f>IFERROR(__xludf.DUMMYFUNCTION("""COMPUTED_VALUE"""),123.0)</f>
        <v>123</v>
      </c>
    </row>
    <row r="480">
      <c r="A480" s="2">
        <f>IFERROR(__xludf.DUMMYFUNCTION("""COMPUTED_VALUE"""),45664.66666666667)</f>
        <v>45664.66667</v>
      </c>
      <c r="B480" s="3">
        <f>IFERROR(__xludf.DUMMYFUNCTION("""COMPUTED_VALUE"""),123.0)</f>
        <v>123</v>
      </c>
    </row>
    <row r="481">
      <c r="A481" s="2">
        <f>IFERROR(__xludf.DUMMYFUNCTION("""COMPUTED_VALUE"""),45665.66666666667)</f>
        <v>45665.66667</v>
      </c>
      <c r="B481" s="3">
        <f>IFERROR(__xludf.DUMMYFUNCTION("""COMPUTED_VALUE"""),121.0)</f>
        <v>121</v>
      </c>
    </row>
    <row r="482">
      <c r="A482" s="2">
        <f>IFERROR(__xludf.DUMMYFUNCTION("""COMPUTED_VALUE"""),45666.66666666667)</f>
        <v>45666.66667</v>
      </c>
      <c r="B482" s="3">
        <f>IFERROR(__xludf.DUMMYFUNCTION("""COMPUTED_VALUE"""),118.0)</f>
        <v>118</v>
      </c>
    </row>
    <row r="483">
      <c r="A483" s="2">
        <f>IFERROR(__xludf.DUMMYFUNCTION("""COMPUTED_VALUE"""),45667.66666666667)</f>
        <v>45667.66667</v>
      </c>
      <c r="B483" s="3">
        <f>IFERROR(__xludf.DUMMYFUNCTION("""COMPUTED_VALUE"""),118.0)</f>
        <v>118</v>
      </c>
    </row>
    <row r="484">
      <c r="A484" s="2">
        <f>IFERROR(__xludf.DUMMYFUNCTION("""COMPUTED_VALUE"""),45670.66666666667)</f>
        <v>45670.66667</v>
      </c>
      <c r="B484" s="3">
        <f>IFERROR(__xludf.DUMMYFUNCTION("""COMPUTED_VALUE"""),123.0)</f>
        <v>123</v>
      </c>
    </row>
    <row r="485">
      <c r="A485" s="2">
        <f>IFERROR(__xludf.DUMMYFUNCTION("""COMPUTED_VALUE"""),45671.66666666667)</f>
        <v>45671.66667</v>
      </c>
      <c r="B485" s="3">
        <f>IFERROR(__xludf.DUMMYFUNCTION("""COMPUTED_VALUE"""),122.0)</f>
        <v>122</v>
      </c>
    </row>
    <row r="486">
      <c r="A486" s="2">
        <f>IFERROR(__xludf.DUMMYFUNCTION("""COMPUTED_VALUE"""),45672.66666666667)</f>
        <v>45672.66667</v>
      </c>
      <c r="B486" s="3">
        <f>IFERROR(__xludf.DUMMYFUNCTION("""COMPUTED_VALUE"""),120.0)</f>
        <v>120</v>
      </c>
    </row>
    <row r="487">
      <c r="A487" s="2">
        <f>IFERROR(__xludf.DUMMYFUNCTION("""COMPUTED_VALUE"""),45673.66666666667)</f>
        <v>45673.66667</v>
      </c>
      <c r="B487" s="3">
        <f>IFERROR(__xludf.DUMMYFUNCTION("""COMPUTED_VALUE"""),120.0)</f>
        <v>120</v>
      </c>
    </row>
    <row r="488">
      <c r="A488" s="2">
        <f>IFERROR(__xludf.DUMMYFUNCTION("""COMPUTED_VALUE"""),45674.66666666667)</f>
        <v>45674.66667</v>
      </c>
      <c r="B488" s="3">
        <f>IFERROR(__xludf.DUMMYFUNCTION("""COMPUTED_VALUE"""),117.0)</f>
        <v>117</v>
      </c>
    </row>
    <row r="489">
      <c r="A489" s="2">
        <f>IFERROR(__xludf.DUMMYFUNCTION("""COMPUTED_VALUE"""),45677.66666666667)</f>
        <v>45677.66667</v>
      </c>
      <c r="B489" s="3">
        <f>IFERROR(__xludf.DUMMYFUNCTION("""COMPUTED_VALUE"""),120.0)</f>
        <v>120</v>
      </c>
    </row>
    <row r="490">
      <c r="A490" s="2">
        <f>IFERROR(__xludf.DUMMYFUNCTION("""COMPUTED_VALUE"""),45678.66666666667)</f>
        <v>45678.66667</v>
      </c>
      <c r="B490" s="3">
        <f>IFERROR(__xludf.DUMMYFUNCTION("""COMPUTED_VALUE"""),118.0)</f>
        <v>118</v>
      </c>
    </row>
    <row r="491">
      <c r="A491" s="2">
        <f>IFERROR(__xludf.DUMMYFUNCTION("""COMPUTED_VALUE"""),45679.66666666667)</f>
        <v>45679.66667</v>
      </c>
      <c r="B491" s="3">
        <f>IFERROR(__xludf.DUMMYFUNCTION("""COMPUTED_VALUE"""),119.0)</f>
        <v>119</v>
      </c>
    </row>
    <row r="492">
      <c r="A492" s="2">
        <f>IFERROR(__xludf.DUMMYFUNCTION("""COMPUTED_VALUE"""),45680.66666666667)</f>
        <v>45680.66667</v>
      </c>
      <c r="B492" s="3">
        <f>IFERROR(__xludf.DUMMYFUNCTION("""COMPUTED_VALUE"""),121.0)</f>
        <v>121</v>
      </c>
    </row>
    <row r="493">
      <c r="A493" s="2">
        <f>IFERROR(__xludf.DUMMYFUNCTION("""COMPUTED_VALUE"""),45681.66666666667)</f>
        <v>45681.66667</v>
      </c>
      <c r="B493" s="3">
        <f>IFERROR(__xludf.DUMMYFUNCTION("""COMPUTED_VALUE"""),119.0)</f>
        <v>119</v>
      </c>
    </row>
    <row r="494">
      <c r="A494" s="2">
        <f>IFERROR(__xludf.DUMMYFUNCTION("""COMPUTED_VALUE"""),45687.66666666667)</f>
        <v>45687.66667</v>
      </c>
      <c r="B494" s="3">
        <f>IFERROR(__xludf.DUMMYFUNCTION("""COMPUTED_VALUE"""),120.0)</f>
        <v>120</v>
      </c>
    </row>
    <row r="495">
      <c r="A495" s="2">
        <f>IFERROR(__xludf.DUMMYFUNCTION("""COMPUTED_VALUE"""),45688.66666666667)</f>
        <v>45688.66667</v>
      </c>
      <c r="B495" s="3">
        <f>IFERROR(__xludf.DUMMYFUNCTION("""COMPUTED_VALUE"""),126.0)</f>
        <v>126</v>
      </c>
    </row>
    <row r="496">
      <c r="A496" s="2">
        <f>IFERROR(__xludf.DUMMYFUNCTION("""COMPUTED_VALUE"""),45691.66666666667)</f>
        <v>45691.66667</v>
      </c>
      <c r="B496" s="3">
        <f>IFERROR(__xludf.DUMMYFUNCTION("""COMPUTED_VALUE"""),123.0)</f>
        <v>123</v>
      </c>
    </row>
    <row r="497">
      <c r="A497" s="2">
        <f>IFERROR(__xludf.DUMMYFUNCTION("""COMPUTED_VALUE"""),45692.66666666667)</f>
        <v>45692.66667</v>
      </c>
      <c r="B497" s="3">
        <f>IFERROR(__xludf.DUMMYFUNCTION("""COMPUTED_VALUE"""),125.0)</f>
        <v>125</v>
      </c>
    </row>
    <row r="498">
      <c r="A498" s="2">
        <f>IFERROR(__xludf.DUMMYFUNCTION("""COMPUTED_VALUE"""),45693.66666666667)</f>
        <v>45693.66667</v>
      </c>
      <c r="B498" s="3">
        <f>IFERROR(__xludf.DUMMYFUNCTION("""COMPUTED_VALUE"""),126.0)</f>
        <v>126</v>
      </c>
    </row>
    <row r="499">
      <c r="A499" s="2">
        <f>IFERROR(__xludf.DUMMYFUNCTION("""COMPUTED_VALUE"""),45694.66666666667)</f>
        <v>45694.66667</v>
      </c>
      <c r="B499" s="3">
        <f>IFERROR(__xludf.DUMMYFUNCTION("""COMPUTED_VALUE"""),122.0)</f>
        <v>122</v>
      </c>
    </row>
    <row r="500">
      <c r="A500" s="2">
        <f>IFERROR(__xludf.DUMMYFUNCTION("""COMPUTED_VALUE"""),45695.66666666667)</f>
        <v>45695.66667</v>
      </c>
      <c r="B500" s="3">
        <f>IFERROR(__xludf.DUMMYFUNCTION("""COMPUTED_VALUE"""),120.0)</f>
        <v>120</v>
      </c>
    </row>
    <row r="501">
      <c r="A501" s="2">
        <f>IFERROR(__xludf.DUMMYFUNCTION("""COMPUTED_VALUE"""),45698.66666666667)</f>
        <v>45698.66667</v>
      </c>
      <c r="B501" s="3">
        <f>IFERROR(__xludf.DUMMYFUNCTION("""COMPUTED_VALUE"""),116.0)</f>
        <v>116</v>
      </c>
    </row>
    <row r="502">
      <c r="A502" s="2">
        <f>IFERROR(__xludf.DUMMYFUNCTION("""COMPUTED_VALUE"""),45699.66666666667)</f>
        <v>45699.66667</v>
      </c>
      <c r="B502" s="3">
        <f>IFERROR(__xludf.DUMMYFUNCTION("""COMPUTED_VALUE"""),114.0)</f>
        <v>114</v>
      </c>
    </row>
    <row r="503">
      <c r="A503" s="2">
        <f>IFERROR(__xludf.DUMMYFUNCTION("""COMPUTED_VALUE"""),45700.66666666667)</f>
        <v>45700.66667</v>
      </c>
      <c r="B503" s="3">
        <f>IFERROR(__xludf.DUMMYFUNCTION("""COMPUTED_VALUE"""),114.0)</f>
        <v>114</v>
      </c>
    </row>
    <row r="504">
      <c r="A504" s="2">
        <f>IFERROR(__xludf.DUMMYFUNCTION("""COMPUTED_VALUE"""),45701.66666666667)</f>
        <v>45701.66667</v>
      </c>
      <c r="B504" s="3">
        <f>IFERROR(__xludf.DUMMYFUNCTION("""COMPUTED_VALUE"""),115.0)</f>
        <v>115</v>
      </c>
    </row>
    <row r="505">
      <c r="A505" s="2">
        <f>IFERROR(__xludf.DUMMYFUNCTION("""COMPUTED_VALUE"""),45702.66666666667)</f>
        <v>45702.66667</v>
      </c>
      <c r="B505" s="3">
        <f>IFERROR(__xludf.DUMMYFUNCTION("""COMPUTED_VALUE"""),115.0)</f>
        <v>115</v>
      </c>
    </row>
    <row r="506">
      <c r="A506" s="2">
        <f>IFERROR(__xludf.DUMMYFUNCTION("""COMPUTED_VALUE"""),45705.66666666667)</f>
        <v>45705.66667</v>
      </c>
      <c r="B506" s="3">
        <f>IFERROR(__xludf.DUMMYFUNCTION("""COMPUTED_VALUE"""),116.0)</f>
        <v>116</v>
      </c>
    </row>
    <row r="507">
      <c r="A507" s="2">
        <f>IFERROR(__xludf.DUMMYFUNCTION("""COMPUTED_VALUE"""),45706.66666666667)</f>
        <v>45706.66667</v>
      </c>
      <c r="B507" s="3">
        <f>IFERROR(__xludf.DUMMYFUNCTION("""COMPUTED_VALUE"""),115.0)</f>
        <v>115</v>
      </c>
    </row>
    <row r="508">
      <c r="A508" s="2">
        <f>IFERROR(__xludf.DUMMYFUNCTION("""COMPUTED_VALUE"""),45707.66666666667)</f>
        <v>45707.66667</v>
      </c>
      <c r="B508" s="3">
        <f>IFERROR(__xludf.DUMMYFUNCTION("""COMPUTED_VALUE"""),114.0)</f>
        <v>114</v>
      </c>
    </row>
    <row r="509">
      <c r="A509" s="2">
        <f>IFERROR(__xludf.DUMMYFUNCTION("""COMPUTED_VALUE"""),45708.66666666667)</f>
        <v>45708.66667</v>
      </c>
      <c r="B509" s="3">
        <f>IFERROR(__xludf.DUMMYFUNCTION("""COMPUTED_VALUE"""),114.0)</f>
        <v>114</v>
      </c>
    </row>
    <row r="510">
      <c r="A510" s="2">
        <f>IFERROR(__xludf.DUMMYFUNCTION("""COMPUTED_VALUE"""),45709.66666666667)</f>
        <v>45709.66667</v>
      </c>
      <c r="B510" s="3">
        <f>IFERROR(__xludf.DUMMYFUNCTION("""COMPUTED_VALUE"""),113.0)</f>
        <v>113</v>
      </c>
    </row>
    <row r="511">
      <c r="A511" s="2">
        <f>IFERROR(__xludf.DUMMYFUNCTION("""COMPUTED_VALUE"""),45712.66666666667)</f>
        <v>45712.66667</v>
      </c>
      <c r="B511" s="3">
        <f>IFERROR(__xludf.DUMMYFUNCTION("""COMPUTED_VALUE"""),115.0)</f>
        <v>115</v>
      </c>
    </row>
    <row r="512">
      <c r="A512" s="2">
        <f>IFERROR(__xludf.DUMMYFUNCTION("""COMPUTED_VALUE"""),45713.66666666667)</f>
        <v>45713.66667</v>
      </c>
      <c r="B512" s="3">
        <f>IFERROR(__xludf.DUMMYFUNCTION("""COMPUTED_VALUE"""),113.0)</f>
        <v>113</v>
      </c>
    </row>
    <row r="513">
      <c r="A513" s="2">
        <f>IFERROR(__xludf.DUMMYFUNCTION("""COMPUTED_VALUE"""),45714.66666666667)</f>
        <v>45714.66667</v>
      </c>
      <c r="B513" s="3">
        <f>IFERROR(__xludf.DUMMYFUNCTION("""COMPUTED_VALUE"""),111.0)</f>
        <v>111</v>
      </c>
    </row>
    <row r="514">
      <c r="A514" s="2">
        <f>IFERROR(__xludf.DUMMYFUNCTION("""COMPUTED_VALUE"""),45715.66666666667)</f>
        <v>45715.66667</v>
      </c>
      <c r="B514" s="3">
        <f>IFERROR(__xludf.DUMMYFUNCTION("""COMPUTED_VALUE"""),107.0)</f>
        <v>107</v>
      </c>
    </row>
    <row r="515">
      <c r="A515" s="2">
        <f>IFERROR(__xludf.DUMMYFUNCTION("""COMPUTED_VALUE"""),45716.66666666667)</f>
        <v>45716.66667</v>
      </c>
      <c r="B515" s="3">
        <f>IFERROR(__xludf.DUMMYFUNCTION("""COMPUTED_VALUE"""),104.0)</f>
        <v>104</v>
      </c>
    </row>
    <row r="516">
      <c r="A516" s="2">
        <f>IFERROR(__xludf.DUMMYFUNCTION("""COMPUTED_VALUE"""),45719.66666666667)</f>
        <v>45719.66667</v>
      </c>
      <c r="B516" s="3">
        <f>IFERROR(__xludf.DUMMYFUNCTION("""COMPUTED_VALUE"""),106.0)</f>
        <v>106</v>
      </c>
    </row>
    <row r="517">
      <c r="A517" s="2">
        <f>IFERROR(__xludf.DUMMYFUNCTION("""COMPUTED_VALUE"""),45720.66666666667)</f>
        <v>45720.66667</v>
      </c>
      <c r="B517" s="3">
        <f>IFERROR(__xludf.DUMMYFUNCTION("""COMPUTED_VALUE"""),102.0)</f>
        <v>102</v>
      </c>
    </row>
    <row r="518">
      <c r="A518" s="2">
        <f>IFERROR(__xludf.DUMMYFUNCTION("""COMPUTED_VALUE"""),45721.66666666667)</f>
        <v>45721.66667</v>
      </c>
      <c r="B518" s="3">
        <f>IFERROR(__xludf.DUMMYFUNCTION("""COMPUTED_VALUE"""),102.0)</f>
        <v>102</v>
      </c>
    </row>
    <row r="519">
      <c r="A519" s="2">
        <f>IFERROR(__xludf.DUMMYFUNCTION("""COMPUTED_VALUE"""),45722.66666666667)</f>
        <v>45722.66667</v>
      </c>
      <c r="B519" s="3">
        <f>IFERROR(__xludf.DUMMYFUNCTION("""COMPUTED_VALUE"""),103.0)</f>
        <v>103</v>
      </c>
    </row>
    <row r="520">
      <c r="A520" s="2">
        <f>IFERROR(__xludf.DUMMYFUNCTION("""COMPUTED_VALUE"""),45723.66666666667)</f>
        <v>45723.66667</v>
      </c>
      <c r="B520" s="3">
        <f>IFERROR(__xludf.DUMMYFUNCTION("""COMPUTED_VALUE"""),102.0)</f>
        <v>102</v>
      </c>
    </row>
    <row r="521">
      <c r="A521" s="2">
        <f>IFERROR(__xludf.DUMMYFUNCTION("""COMPUTED_VALUE"""),45726.66666666667)</f>
        <v>45726.66667</v>
      </c>
      <c r="B521" s="3">
        <f>IFERROR(__xludf.DUMMYFUNCTION("""COMPUTED_VALUE"""),103.0)</f>
        <v>103</v>
      </c>
    </row>
    <row r="522">
      <c r="A522" s="2">
        <f>IFERROR(__xludf.DUMMYFUNCTION("""COMPUTED_VALUE"""),45727.66666666667)</f>
        <v>45727.66667</v>
      </c>
      <c r="B522" s="3">
        <f>IFERROR(__xludf.DUMMYFUNCTION("""COMPUTED_VALUE"""),101.0)</f>
        <v>101</v>
      </c>
    </row>
    <row r="523">
      <c r="A523" s="2">
        <f>IFERROR(__xludf.DUMMYFUNCTION("""COMPUTED_VALUE"""),45728.66666666667)</f>
        <v>45728.66667</v>
      </c>
      <c r="B523" s="3">
        <f>IFERROR(__xludf.DUMMYFUNCTION("""COMPUTED_VALUE"""),99.0)</f>
        <v>99</v>
      </c>
    </row>
    <row r="524">
      <c r="A524" s="2">
        <f>IFERROR(__xludf.DUMMYFUNCTION("""COMPUTED_VALUE"""),45729.66666666667)</f>
        <v>45729.66667</v>
      </c>
      <c r="B524" s="3">
        <f>IFERROR(__xludf.DUMMYFUNCTION("""COMPUTED_VALUE"""),99.0)</f>
        <v>99</v>
      </c>
    </row>
    <row r="525">
      <c r="A525" s="2">
        <f>IFERROR(__xludf.DUMMYFUNCTION("""COMPUTED_VALUE"""),45730.66666666667)</f>
        <v>45730.66667</v>
      </c>
      <c r="B525" s="3">
        <f>IFERROR(__xludf.DUMMYFUNCTION("""COMPUTED_VALUE"""),100.0)</f>
        <v>100</v>
      </c>
    </row>
    <row r="526">
      <c r="A526" s="2">
        <f>IFERROR(__xludf.DUMMYFUNCTION("""COMPUTED_VALUE"""),45733.66666666667)</f>
        <v>45733.66667</v>
      </c>
      <c r="B526" s="3">
        <f>IFERROR(__xludf.DUMMYFUNCTION("""COMPUTED_VALUE"""),101.0)</f>
        <v>101</v>
      </c>
    </row>
    <row r="527">
      <c r="A527" s="2">
        <f>IFERROR(__xludf.DUMMYFUNCTION("""COMPUTED_VALUE"""),45734.66666666667)</f>
        <v>45734.66667</v>
      </c>
      <c r="B527" s="3">
        <f>IFERROR(__xludf.DUMMYFUNCTION("""COMPUTED_VALUE"""),99.0)</f>
        <v>99</v>
      </c>
    </row>
    <row r="528">
      <c r="A528" s="2">
        <f>IFERROR(__xludf.DUMMYFUNCTION("""COMPUTED_VALUE"""),45735.66666666667)</f>
        <v>45735.66667</v>
      </c>
      <c r="B528" s="3">
        <f>IFERROR(__xludf.DUMMYFUNCTION("""COMPUTED_VALUE"""),101.0)</f>
        <v>101</v>
      </c>
    </row>
    <row r="529">
      <c r="A529" s="2">
        <f>IFERROR(__xludf.DUMMYFUNCTION("""COMPUTED_VALUE"""),45736.66666666667)</f>
        <v>45736.66667</v>
      </c>
      <c r="B529" s="3">
        <f>IFERROR(__xludf.DUMMYFUNCTION("""COMPUTED_VALUE"""),99.0)</f>
        <v>99</v>
      </c>
    </row>
    <row r="530">
      <c r="A530" s="2">
        <f>IFERROR(__xludf.DUMMYFUNCTION("""COMPUTED_VALUE"""),45737.66666666667)</f>
        <v>45737.66667</v>
      </c>
      <c r="B530" s="3">
        <f>IFERROR(__xludf.DUMMYFUNCTION("""COMPUTED_VALUE"""),97.0)</f>
        <v>97</v>
      </c>
    </row>
    <row r="531">
      <c r="A531" s="2">
        <f>IFERROR(__xludf.DUMMYFUNCTION("""COMPUTED_VALUE"""),45740.66666666667)</f>
        <v>45740.66667</v>
      </c>
      <c r="B531" s="3">
        <f>IFERROR(__xludf.DUMMYFUNCTION("""COMPUTED_VALUE"""),90.0)</f>
        <v>90</v>
      </c>
    </row>
    <row r="532">
      <c r="A532" s="2">
        <f>IFERROR(__xludf.DUMMYFUNCTION("""COMPUTED_VALUE"""),45741.66666666667)</f>
        <v>45741.66667</v>
      </c>
      <c r="B532" s="3">
        <f>IFERROR(__xludf.DUMMYFUNCTION("""COMPUTED_VALUE"""),87.0)</f>
        <v>87</v>
      </c>
    </row>
    <row r="533">
      <c r="A533" s="2">
        <f>IFERROR(__xludf.DUMMYFUNCTION("""COMPUTED_VALUE"""),45742.66666666667)</f>
        <v>45742.66667</v>
      </c>
      <c r="B533" s="3">
        <f>IFERROR(__xludf.DUMMYFUNCTION("""COMPUTED_VALUE"""),91.0)</f>
        <v>91</v>
      </c>
    </row>
    <row r="534">
      <c r="A534" s="2">
        <f>IFERROR(__xludf.DUMMYFUNCTION("""COMPUTED_VALUE"""),45743.66666666667)</f>
        <v>45743.66667</v>
      </c>
      <c r="B534" s="3">
        <f>IFERROR(__xludf.DUMMYFUNCTION("""COMPUTED_VALUE"""),90.0)</f>
        <v>90</v>
      </c>
    </row>
    <row r="535">
      <c r="A535" s="2">
        <f>IFERROR(__xludf.DUMMYFUNCTION("""COMPUTED_VALUE"""),45755.66666666667)</f>
        <v>45755.66667</v>
      </c>
      <c r="B535" s="3">
        <f>IFERROR(__xludf.DUMMYFUNCTION("""COMPUTED_VALUE"""),79.0)</f>
        <v>79</v>
      </c>
    </row>
    <row r="536">
      <c r="A536" s="2">
        <f>IFERROR(__xludf.DUMMYFUNCTION("""COMPUTED_VALUE"""),45756.66666666667)</f>
        <v>45756.66667</v>
      </c>
      <c r="B536" s="3">
        <f>IFERROR(__xludf.DUMMYFUNCTION("""COMPUTED_VALUE"""),85.0)</f>
        <v>85</v>
      </c>
    </row>
    <row r="537">
      <c r="A537" s="2">
        <f>IFERROR(__xludf.DUMMYFUNCTION("""COMPUTED_VALUE"""),45757.66666666667)</f>
        <v>45757.66667</v>
      </c>
      <c r="B537" s="3">
        <f>IFERROR(__xludf.DUMMYFUNCTION("""COMPUTED_VALUE"""),89.0)</f>
        <v>89</v>
      </c>
    </row>
    <row r="538">
      <c r="A538" s="2">
        <f>IFERROR(__xludf.DUMMYFUNCTION("""COMPUTED_VALUE"""),45758.66666666667)</f>
        <v>45758.66667</v>
      </c>
      <c r="B538" s="3">
        <f>IFERROR(__xludf.DUMMYFUNCTION("""COMPUTED_VALUE"""),91.0)</f>
        <v>91</v>
      </c>
    </row>
    <row r="539">
      <c r="A539" s="2">
        <f>IFERROR(__xludf.DUMMYFUNCTION("""COMPUTED_VALUE"""),45761.66666666667)</f>
        <v>45761.66667</v>
      </c>
      <c r="B539" s="3">
        <f>IFERROR(__xludf.DUMMYFUNCTION("""COMPUTED_VALUE"""),90.0)</f>
        <v>90</v>
      </c>
    </row>
    <row r="540">
      <c r="A540" s="2">
        <f>IFERROR(__xludf.DUMMYFUNCTION("""COMPUTED_VALUE"""),45762.66666666667)</f>
        <v>45762.66667</v>
      </c>
      <c r="B540" s="3">
        <f>IFERROR(__xludf.DUMMYFUNCTION("""COMPUTED_VALUE"""),91.0)</f>
        <v>91</v>
      </c>
    </row>
    <row r="541">
      <c r="A541" s="2">
        <f>IFERROR(__xludf.DUMMYFUNCTION("""COMPUTED_VALUE"""),45763.66666666667)</f>
        <v>45763.66667</v>
      </c>
      <c r="B541" s="3">
        <f>IFERROR(__xludf.DUMMYFUNCTION("""COMPUTED_VALUE"""),95.0)</f>
        <v>95</v>
      </c>
    </row>
    <row r="542">
      <c r="A542" s="2">
        <f>IFERROR(__xludf.DUMMYFUNCTION("""COMPUTED_VALUE"""),45764.66666666667)</f>
        <v>45764.66667</v>
      </c>
      <c r="B542" s="3">
        <f>IFERROR(__xludf.DUMMYFUNCTION("""COMPUTED_VALUE"""),96.0)</f>
        <v>96</v>
      </c>
    </row>
    <row r="543">
      <c r="A543" s="2">
        <f>IFERROR(__xludf.DUMMYFUNCTION("""COMPUTED_VALUE"""),45768.66666666667)</f>
        <v>45768.66667</v>
      </c>
      <c r="B543" s="3">
        <f>IFERROR(__xludf.DUMMYFUNCTION("""COMPUTED_VALUE"""),98.0)</f>
        <v>98</v>
      </c>
    </row>
    <row r="544">
      <c r="A544" s="2">
        <f>IFERROR(__xludf.DUMMYFUNCTION("""COMPUTED_VALUE"""),45769.66666666667)</f>
        <v>45769.66667</v>
      </c>
      <c r="B544" s="3">
        <f>IFERROR(__xludf.DUMMYFUNCTION("""COMPUTED_VALUE"""),99.0)</f>
        <v>99</v>
      </c>
    </row>
    <row r="545">
      <c r="A545" s="2">
        <f>IFERROR(__xludf.DUMMYFUNCTION("""COMPUTED_VALUE"""),45770.66666666667)</f>
        <v>45770.66667</v>
      </c>
      <c r="B545" s="3">
        <f>IFERROR(__xludf.DUMMYFUNCTION("""COMPUTED_VALUE"""),100.0)</f>
        <v>100</v>
      </c>
    </row>
    <row r="546">
      <c r="A546" s="2">
        <f>IFERROR(__xludf.DUMMYFUNCTION("""COMPUTED_VALUE"""),45771.66666666667)</f>
        <v>45771.66667</v>
      </c>
      <c r="B546" s="3">
        <f>IFERROR(__xludf.DUMMYFUNCTION("""COMPUTED_VALUE"""),97.0)</f>
        <v>97</v>
      </c>
    </row>
    <row r="547">
      <c r="A547" s="2">
        <f>IFERROR(__xludf.DUMMYFUNCTION("""COMPUTED_VALUE"""),45772.66666666667)</f>
        <v>45772.66667</v>
      </c>
      <c r="B547" s="3">
        <f>IFERROR(__xludf.DUMMYFUNCTION("""COMPUTED_VALUE"""),100.0)</f>
        <v>100</v>
      </c>
    </row>
    <row r="548">
      <c r="A548" s="2">
        <f>IFERROR(__xludf.DUMMYFUNCTION("""COMPUTED_VALUE"""),45775.66666666667)</f>
        <v>45775.66667</v>
      </c>
      <c r="B548" s="3">
        <f>IFERROR(__xludf.DUMMYFUNCTION("""COMPUTED_VALUE"""),98.0)</f>
        <v>98</v>
      </c>
    </row>
    <row r="549">
      <c r="A549" s="2">
        <f>IFERROR(__xludf.DUMMYFUNCTION("""COMPUTED_VALUE"""),45776.66666666667)</f>
        <v>45776.66667</v>
      </c>
      <c r="B549" s="3">
        <f>IFERROR(__xludf.DUMMYFUNCTION("""COMPUTED_VALUE"""),98.0)</f>
        <v>98</v>
      </c>
    </row>
    <row r="550">
      <c r="A550" s="2">
        <f>IFERROR(__xludf.DUMMYFUNCTION("""COMPUTED_VALUE"""),45777.66666666667)</f>
        <v>45777.66667</v>
      </c>
      <c r="B550" s="3">
        <f>IFERROR(__xludf.DUMMYFUNCTION("""COMPUTED_VALUE"""),98.0)</f>
        <v>98</v>
      </c>
    </row>
    <row r="551">
      <c r="A551" s="2">
        <f>IFERROR(__xludf.DUMMYFUNCTION("""COMPUTED_VALUE"""),45779.66666666667)</f>
        <v>45779.66667</v>
      </c>
      <c r="B551" s="3">
        <f>IFERROR(__xludf.DUMMYFUNCTION("""COMPUTED_VALUE"""),96.0)</f>
        <v>96</v>
      </c>
    </row>
    <row r="552">
      <c r="A552" s="2">
        <f>IFERROR(__xludf.DUMMYFUNCTION("""COMPUTED_VALUE"""),45782.66666666667)</f>
        <v>45782.66667</v>
      </c>
      <c r="B552" s="3">
        <f>IFERROR(__xludf.DUMMYFUNCTION("""COMPUTED_VALUE"""),98.0)</f>
        <v>98</v>
      </c>
    </row>
    <row r="553">
      <c r="A553" s="2">
        <f>IFERROR(__xludf.DUMMYFUNCTION("""COMPUTED_VALUE"""),45783.66666666667)</f>
        <v>45783.66667</v>
      </c>
      <c r="B553" s="3">
        <f>IFERROR(__xludf.DUMMYFUNCTION("""COMPUTED_VALUE"""),98.0)</f>
        <v>98</v>
      </c>
    </row>
    <row r="554">
      <c r="A554" s="2">
        <f>IFERROR(__xludf.DUMMYFUNCTION("""COMPUTED_VALUE"""),45784.66666666667)</f>
        <v>45784.66667</v>
      </c>
      <c r="B554" s="3">
        <f>IFERROR(__xludf.DUMMYFUNCTION("""COMPUTED_VALUE"""),97.0)</f>
        <v>97</v>
      </c>
    </row>
    <row r="555">
      <c r="A555" s="2">
        <f>IFERROR(__xludf.DUMMYFUNCTION("""COMPUTED_VALUE"""),45785.66666666667)</f>
        <v>45785.66667</v>
      </c>
      <c r="B555" s="3">
        <f>IFERROR(__xludf.DUMMYFUNCTION("""COMPUTED_VALUE"""),99.0)</f>
        <v>99</v>
      </c>
    </row>
    <row r="556">
      <c r="A556" s="2">
        <f>IFERROR(__xludf.DUMMYFUNCTION("""COMPUTED_VALUE"""),45786.66666666667)</f>
        <v>45786.66667</v>
      </c>
      <c r="B556" s="3">
        <f>IFERROR(__xludf.DUMMYFUNCTION("""COMPUTED_VALUE"""),97.0)</f>
        <v>97</v>
      </c>
    </row>
    <row r="557">
      <c r="A557" s="2">
        <f>IFERROR(__xludf.DUMMYFUNCTION("""COMPUTED_VALUE"""),45791.66666666667)</f>
        <v>45791.66667</v>
      </c>
      <c r="B557" s="3">
        <f>IFERROR(__xludf.DUMMYFUNCTION("""COMPUTED_VALUE"""),98.0)</f>
        <v>98</v>
      </c>
    </row>
    <row r="558">
      <c r="A558" s="2">
        <f>IFERROR(__xludf.DUMMYFUNCTION("""COMPUTED_VALUE"""),45792.66666666667)</f>
        <v>45792.66667</v>
      </c>
      <c r="B558" s="3">
        <f>IFERROR(__xludf.DUMMYFUNCTION("""COMPUTED_VALUE"""),97.0)</f>
        <v>97</v>
      </c>
    </row>
    <row r="559">
      <c r="A559" s="2">
        <f>IFERROR(__xludf.DUMMYFUNCTION("""COMPUTED_VALUE"""),45793.66666666667)</f>
        <v>45793.66667</v>
      </c>
      <c r="B559" s="3">
        <f>IFERROR(__xludf.DUMMYFUNCTION("""COMPUTED_VALUE"""),98.0)</f>
        <v>98</v>
      </c>
    </row>
    <row r="560">
      <c r="A560" s="2">
        <f>IFERROR(__xludf.DUMMYFUNCTION("""COMPUTED_VALUE"""),45796.66666666667)</f>
        <v>45796.66667</v>
      </c>
      <c r="B560" s="3">
        <f>IFERROR(__xludf.DUMMYFUNCTION("""COMPUTED_VALUE"""),102.0)</f>
        <v>102</v>
      </c>
    </row>
    <row r="561">
      <c r="A561" s="2">
        <f>IFERROR(__xludf.DUMMYFUNCTION("""COMPUTED_VALUE"""),45797.66666666667)</f>
        <v>45797.66667</v>
      </c>
      <c r="B561" s="3">
        <f>IFERROR(__xludf.DUMMYFUNCTION("""COMPUTED_VALUE"""),99.0)</f>
        <v>99</v>
      </c>
    </row>
    <row r="562">
      <c r="A562" s="2">
        <f>IFERROR(__xludf.DUMMYFUNCTION("""COMPUTED_VALUE"""),45798.66666666667)</f>
        <v>45798.66667</v>
      </c>
      <c r="B562" s="3">
        <f>IFERROR(__xludf.DUMMYFUNCTION("""COMPUTED_VALUE"""),100.0)</f>
        <v>100</v>
      </c>
    </row>
    <row r="563">
      <c r="A563" s="2">
        <f>IFERROR(__xludf.DUMMYFUNCTION("""COMPUTED_VALUE"""),45799.66666666667)</f>
        <v>45799.66667</v>
      </c>
      <c r="B563" s="3">
        <f>IFERROR(__xludf.DUMMYFUNCTION("""COMPUTED_VALUE"""),101.0)</f>
        <v>101</v>
      </c>
    </row>
    <row r="564">
      <c r="A564" s="2">
        <f>IFERROR(__xludf.DUMMYFUNCTION("""COMPUTED_VALUE"""),45800.66666666667)</f>
        <v>45800.66667</v>
      </c>
      <c r="B564" s="3">
        <f>IFERROR(__xludf.DUMMYFUNCTION("""COMPUTED_VALUE"""),98.0)</f>
        <v>98</v>
      </c>
    </row>
    <row r="565">
      <c r="A565" s="2">
        <f>IFERROR(__xludf.DUMMYFUNCTION("""COMPUTED_VALUE"""),45803.66666666667)</f>
        <v>45803.66667</v>
      </c>
      <c r="B565" s="3">
        <f>IFERROR(__xludf.DUMMYFUNCTION("""COMPUTED_VALUE"""),98.0)</f>
        <v>98</v>
      </c>
    </row>
    <row r="566">
      <c r="A566" s="2">
        <f>IFERROR(__xludf.DUMMYFUNCTION("""COMPUTED_VALUE"""),45804.66666666667)</f>
        <v>45804.66667</v>
      </c>
      <c r="B566" s="3">
        <f>IFERROR(__xludf.DUMMYFUNCTION("""COMPUTED_VALUE"""),97.0)</f>
        <v>97</v>
      </c>
    </row>
    <row r="567">
      <c r="A567" s="2">
        <f>IFERROR(__xludf.DUMMYFUNCTION("""COMPUTED_VALUE"""),45805.66666666667)</f>
        <v>45805.66667</v>
      </c>
      <c r="B567" s="3">
        <f>IFERROR(__xludf.DUMMYFUNCTION("""COMPUTED_VALUE"""),97.0)</f>
        <v>97</v>
      </c>
    </row>
    <row r="568">
      <c r="A568" s="2">
        <f>IFERROR(__xludf.DUMMYFUNCTION("""COMPUTED_VALUE"""),45810.66666666667)</f>
        <v>45810.66667</v>
      </c>
      <c r="B568" s="3">
        <f>IFERROR(__xludf.DUMMYFUNCTION("""COMPUTED_VALUE"""),94.0)</f>
        <v>94</v>
      </c>
    </row>
    <row r="569">
      <c r="A569" s="2">
        <f>IFERROR(__xludf.DUMMYFUNCTION("""COMPUTED_VALUE"""),45811.66666666667)</f>
        <v>45811.66667</v>
      </c>
      <c r="B569" s="3">
        <f>IFERROR(__xludf.DUMMYFUNCTION("""COMPUTED_VALUE"""),93.0)</f>
        <v>93</v>
      </c>
    </row>
    <row r="570">
      <c r="A570" s="2">
        <f>IFERROR(__xludf.DUMMYFUNCTION("""COMPUTED_VALUE"""),45812.66666666667)</f>
        <v>45812.66667</v>
      </c>
      <c r="B570" s="3">
        <f>IFERROR(__xludf.DUMMYFUNCTION("""COMPUTED_VALUE"""),94.0)</f>
        <v>94</v>
      </c>
    </row>
    <row r="571">
      <c r="A571" s="2">
        <f>IFERROR(__xludf.DUMMYFUNCTION("""COMPUTED_VALUE"""),45813.66666666667)</f>
        <v>45813.66667</v>
      </c>
      <c r="B571" s="3">
        <f>IFERROR(__xludf.DUMMYFUNCTION("""COMPUTED_VALUE"""),94.0)</f>
        <v>94</v>
      </c>
    </row>
    <row r="572">
      <c r="A572" s="2">
        <f>IFERROR(__xludf.DUMMYFUNCTION("""COMPUTED_VALUE"""),45818.66666666667)</f>
        <v>45818.66667</v>
      </c>
      <c r="B572" s="3">
        <f>IFERROR(__xludf.DUMMYFUNCTION("""COMPUTED_VALUE"""),93.0)</f>
        <v>93</v>
      </c>
    </row>
    <row r="573">
      <c r="A573" s="2">
        <f>IFERROR(__xludf.DUMMYFUNCTION("""COMPUTED_VALUE"""),45819.66666666667)</f>
        <v>45819.66667</v>
      </c>
      <c r="B573" s="3">
        <f>IFERROR(__xludf.DUMMYFUNCTION("""COMPUTED_VALUE"""),91.0)</f>
        <v>91</v>
      </c>
    </row>
    <row r="574">
      <c r="A574" s="2">
        <f>IFERROR(__xludf.DUMMYFUNCTION("""COMPUTED_VALUE"""),45820.66666666667)</f>
        <v>45820.66667</v>
      </c>
      <c r="B574" s="3">
        <f>IFERROR(__xludf.DUMMYFUNCTION("""COMPUTED_VALUE"""),102.0)</f>
        <v>102</v>
      </c>
    </row>
    <row r="575">
      <c r="A575" s="2">
        <f>IFERROR(__xludf.DUMMYFUNCTION("""COMPUTED_VALUE"""),45821.66666666667)</f>
        <v>45821.66667</v>
      </c>
      <c r="B575" s="3">
        <f>IFERROR(__xludf.DUMMYFUNCTION("""COMPUTED_VALUE"""),102.0)</f>
        <v>102</v>
      </c>
    </row>
    <row r="576">
      <c r="A576" s="2">
        <f>IFERROR(__xludf.DUMMYFUNCTION("""COMPUTED_VALUE"""),45824.66666666667)</f>
        <v>45824.66667</v>
      </c>
      <c r="B576" s="3">
        <f>IFERROR(__xludf.DUMMYFUNCTION("""COMPUTED_VALUE"""),103.0)</f>
        <v>103</v>
      </c>
    </row>
    <row r="577">
      <c r="A577" s="2">
        <f>IFERROR(__xludf.DUMMYFUNCTION("""COMPUTED_VALUE"""),45825.66666666667)</f>
        <v>45825.66667</v>
      </c>
      <c r="B577" s="3">
        <f>IFERROR(__xludf.DUMMYFUNCTION("""COMPUTED_VALUE"""),99.0)</f>
        <v>99</v>
      </c>
    </row>
    <row r="578">
      <c r="A578" s="2">
        <f>IFERROR(__xludf.DUMMYFUNCTION("""COMPUTED_VALUE"""),45826.66666666667)</f>
        <v>45826.66667</v>
      </c>
      <c r="B578" s="3">
        <f>IFERROR(__xludf.DUMMYFUNCTION("""COMPUTED_VALUE"""),109.0)</f>
        <v>109</v>
      </c>
    </row>
    <row r="579">
      <c r="A579" s="2">
        <f>IFERROR(__xludf.DUMMYFUNCTION("""COMPUTED_VALUE"""),45827.66666666667)</f>
        <v>45827.66667</v>
      </c>
      <c r="B579" s="3">
        <f>IFERROR(__xludf.DUMMYFUNCTION("""COMPUTED_VALUE"""),111.0)</f>
        <v>111</v>
      </c>
    </row>
    <row r="580">
      <c r="A580" s="2">
        <f>IFERROR(__xludf.DUMMYFUNCTION("""COMPUTED_VALUE"""),45828.66666666667)</f>
        <v>45828.66667</v>
      </c>
      <c r="B580" s="3">
        <f>IFERROR(__xludf.DUMMYFUNCTION("""COMPUTED_VALUE"""),136.0)</f>
        <v>136</v>
      </c>
    </row>
    <row r="581">
      <c r="A581" s="2">
        <f>IFERROR(__xludf.DUMMYFUNCTION("""COMPUTED_VALUE"""),45831.66666666667)</f>
        <v>45831.66667</v>
      </c>
      <c r="B581" s="3">
        <f>IFERROR(__xludf.DUMMYFUNCTION("""COMPUTED_VALUE"""),164.0)</f>
        <v>164</v>
      </c>
    </row>
    <row r="582">
      <c r="A582" s="2">
        <f>IFERROR(__xludf.DUMMYFUNCTION("""COMPUTED_VALUE"""),45833.66666666667)</f>
        <v>45833.66667</v>
      </c>
      <c r="B582" s="3">
        <f>IFERROR(__xludf.DUMMYFUNCTION("""COMPUTED_VALUE"""),140.0)</f>
        <v>140</v>
      </c>
    </row>
    <row r="583">
      <c r="A583" s="2">
        <f>IFERROR(__xludf.DUMMYFUNCTION("""COMPUTED_VALUE"""),45834.66666666667)</f>
        <v>45834.66667</v>
      </c>
      <c r="B583" s="3">
        <f>IFERROR(__xludf.DUMMYFUNCTION("""COMPUTED_VALUE"""),123.0)</f>
        <v>123</v>
      </c>
    </row>
    <row r="584">
      <c r="A584" s="2">
        <f>IFERROR(__xludf.DUMMYFUNCTION("""COMPUTED_VALUE"""),45838.66666666667)</f>
        <v>45838.66667</v>
      </c>
      <c r="B584" s="3">
        <f>IFERROR(__xludf.DUMMYFUNCTION("""COMPUTED_VALUE"""),118.0)</f>
        <v>118</v>
      </c>
    </row>
    <row r="585">
      <c r="A585" s="2">
        <f>IFERROR(__xludf.DUMMYFUNCTION("""COMPUTED_VALUE"""),45839.66666666667)</f>
        <v>45839.66667</v>
      </c>
      <c r="B585" s="3">
        <f>IFERROR(__xludf.DUMMYFUNCTION("""COMPUTED_VALUE"""),141.0)</f>
        <v>141</v>
      </c>
    </row>
    <row r="586">
      <c r="A586" s="2">
        <f>IFERROR(__xludf.DUMMYFUNCTION("""COMPUTED_VALUE"""),45840.66666666667)</f>
        <v>45840.66667</v>
      </c>
      <c r="B586" s="3">
        <f>IFERROR(__xludf.DUMMYFUNCTION("""COMPUTED_VALUE"""),130.0)</f>
        <v>130</v>
      </c>
    </row>
    <row r="587">
      <c r="A587" s="2">
        <f>IFERROR(__xludf.DUMMYFUNCTION("""COMPUTED_VALUE"""),45841.66666666667)</f>
        <v>45841.66667</v>
      </c>
      <c r="B587" s="3">
        <f>IFERROR(__xludf.DUMMYFUNCTION("""COMPUTED_VALUE"""),133.0)</f>
        <v>133</v>
      </c>
    </row>
    <row r="588">
      <c r="A588" s="2">
        <f>IFERROR(__xludf.DUMMYFUNCTION("""COMPUTED_VALUE"""),45842.66666666667)</f>
        <v>45842.66667</v>
      </c>
      <c r="B588" s="3">
        <f>IFERROR(__xludf.DUMMYFUNCTION("""COMPUTED_VALUE"""),128.0)</f>
        <v>128</v>
      </c>
    </row>
    <row r="589">
      <c r="A589" s="2">
        <f>IFERROR(__xludf.DUMMYFUNCTION("""COMPUTED_VALUE"""),45845.66666666667)</f>
        <v>45845.66667</v>
      </c>
      <c r="B589" s="3">
        <f>IFERROR(__xludf.DUMMYFUNCTION("""COMPUTED_VALUE"""),126.0)</f>
        <v>126</v>
      </c>
    </row>
    <row r="590">
      <c r="A590" s="2">
        <f>IFERROR(__xludf.DUMMYFUNCTION("""COMPUTED_VALUE"""),45846.66666666667)</f>
        <v>45846.66667</v>
      </c>
      <c r="B590" s="3">
        <f>IFERROR(__xludf.DUMMYFUNCTION("""COMPUTED_VALUE"""),130.0)</f>
        <v>130</v>
      </c>
    </row>
    <row r="591">
      <c r="A591" s="2">
        <f>IFERROR(__xludf.DUMMYFUNCTION("""COMPUTED_VALUE"""),45847.66666666667)</f>
        <v>45847.66667</v>
      </c>
      <c r="B591" s="3">
        <f>IFERROR(__xludf.DUMMYFUNCTION("""COMPUTED_VALUE"""),130.0)</f>
        <v>130</v>
      </c>
    </row>
    <row r="592">
      <c r="A592" s="2">
        <f>IFERROR(__xludf.DUMMYFUNCTION("""COMPUTED_VALUE"""),45848.66666666667)</f>
        <v>45848.66667</v>
      </c>
      <c r="B592" s="3">
        <f>IFERROR(__xludf.DUMMYFUNCTION("""COMPUTED_VALUE"""),130.0)</f>
        <v>130</v>
      </c>
    </row>
    <row r="593">
      <c r="A593" s="2">
        <f>IFERROR(__xludf.DUMMYFUNCTION("""COMPUTED_VALUE"""),45849.66666666667)</f>
        <v>45849.66667</v>
      </c>
      <c r="B593" s="3">
        <f>IFERROR(__xludf.DUMMYFUNCTION("""COMPUTED_VALUE"""),128.0)</f>
        <v>128</v>
      </c>
    </row>
    <row r="594">
      <c r="A594" s="2">
        <f>IFERROR(__xludf.DUMMYFUNCTION("""COMPUTED_VALUE"""),45852.66666666667)</f>
        <v>45852.66667</v>
      </c>
      <c r="B594" s="3">
        <f>IFERROR(__xludf.DUMMYFUNCTION("""COMPUTED_VALUE"""),121.0)</f>
        <v>121</v>
      </c>
    </row>
    <row r="595">
      <c r="A595" s="2">
        <f>IFERROR(__xludf.DUMMYFUNCTION("""COMPUTED_VALUE"""),45853.66666666667)</f>
        <v>45853.66667</v>
      </c>
      <c r="B595" s="3">
        <f>IFERROR(__xludf.DUMMYFUNCTION("""COMPUTED_VALUE"""),117.0)</f>
        <v>117</v>
      </c>
    </row>
    <row r="596">
      <c r="A596" s="2">
        <f>IFERROR(__xludf.DUMMYFUNCTION("""COMPUTED_VALUE"""),45854.66666666667)</f>
        <v>45854.66667</v>
      </c>
      <c r="B596" s="3">
        <f>IFERROR(__xludf.DUMMYFUNCTION("""COMPUTED_VALUE"""),123.0)</f>
        <v>123</v>
      </c>
    </row>
    <row r="597">
      <c r="A597" s="2">
        <f>IFERROR(__xludf.DUMMYFUNCTION("""COMPUTED_VALUE"""),45855.66666666667)</f>
        <v>45855.66667</v>
      </c>
      <c r="B597" s="3">
        <f>IFERROR(__xludf.DUMMYFUNCTION("""COMPUTED_VALUE"""),126.0)</f>
        <v>126</v>
      </c>
    </row>
    <row r="598">
      <c r="A598" s="2">
        <f>IFERROR(__xludf.DUMMYFUNCTION("""COMPUTED_VALUE"""),45856.66666666667)</f>
        <v>45856.66667</v>
      </c>
      <c r="B598" s="3">
        <f>IFERROR(__xludf.DUMMYFUNCTION("""COMPUTED_VALUE"""),125.0)</f>
        <v>125</v>
      </c>
    </row>
    <row r="599">
      <c r="A599" s="2">
        <f>IFERROR(__xludf.DUMMYFUNCTION("""COMPUTED_VALUE"""),45859.66666666667)</f>
        <v>45859.66667</v>
      </c>
      <c r="B599" s="3">
        <f>IFERROR(__xludf.DUMMYFUNCTION("""COMPUTED_VALUE"""),126.0)</f>
        <v>126</v>
      </c>
    </row>
    <row r="600">
      <c r="A600" s="2">
        <f>IFERROR(__xludf.DUMMYFUNCTION("""COMPUTED_VALUE"""),45860.66666666667)</f>
        <v>45860.66667</v>
      </c>
      <c r="B600" s="3">
        <f>IFERROR(__xludf.DUMMYFUNCTION("""COMPUTED_VALUE"""),122.0)</f>
        <v>122</v>
      </c>
    </row>
    <row r="601">
      <c r="A601" s="2">
        <f>IFERROR(__xludf.DUMMYFUNCTION("""COMPUTED_VALUE"""),45861.66666666667)</f>
        <v>45861.66667</v>
      </c>
      <c r="B601" s="3">
        <f>IFERROR(__xludf.DUMMYFUNCTION("""COMPUTED_VALUE"""),122.0)</f>
        <v>122</v>
      </c>
    </row>
    <row r="602">
      <c r="A602" s="2">
        <f>IFERROR(__xludf.DUMMYFUNCTION("""COMPUTED_VALUE"""),45862.66666666667)</f>
        <v>45862.66667</v>
      </c>
      <c r="B602" s="3">
        <f>IFERROR(__xludf.DUMMYFUNCTION("""COMPUTED_VALUE"""),121.0)</f>
        <v>121</v>
      </c>
    </row>
    <row r="603">
      <c r="A603" s="2">
        <f>IFERROR(__xludf.DUMMYFUNCTION("""COMPUTED_VALUE"""),45863.66666666667)</f>
        <v>45863.66667</v>
      </c>
      <c r="B603" s="3">
        <f>IFERROR(__xludf.DUMMYFUNCTION("""COMPUTED_VALUE"""),118.0)</f>
        <v>118</v>
      </c>
    </row>
    <row r="604">
      <c r="A604" s="2">
        <f>IFERROR(__xludf.DUMMYFUNCTION("""COMPUTED_VALUE"""),45866.66666666667)</f>
        <v>45866.66667</v>
      </c>
      <c r="B604" s="3">
        <f>IFERROR(__xludf.DUMMYFUNCTION("""COMPUTED_VALUE"""),118.0)</f>
        <v>118</v>
      </c>
    </row>
    <row r="605">
      <c r="A605" s="2">
        <f>IFERROR(__xludf.DUMMYFUNCTION("""COMPUTED_VALUE"""),45867.66666666667)</f>
        <v>45867.66667</v>
      </c>
      <c r="B605" s="3">
        <f>IFERROR(__xludf.DUMMYFUNCTION("""COMPUTED_VALUE"""),144.0)</f>
        <v>144</v>
      </c>
    </row>
    <row r="606">
      <c r="A606" s="2">
        <f>IFERROR(__xludf.DUMMYFUNCTION("""COMPUTED_VALUE"""),45868.66666666667)</f>
        <v>45868.66667</v>
      </c>
      <c r="B606" s="3">
        <f>IFERROR(__xludf.DUMMYFUNCTION("""COMPUTED_VALUE"""),133.0)</f>
        <v>133</v>
      </c>
    </row>
    <row r="607">
      <c r="A607" s="2">
        <f>IFERROR(__xludf.DUMMYFUNCTION("""COMPUTED_VALUE"""),45869.66666666667)</f>
        <v>45869.66667</v>
      </c>
      <c r="B607" s="3">
        <f>IFERROR(__xludf.DUMMYFUNCTION("""COMPUTED_VALUE"""),131.0)</f>
        <v>131</v>
      </c>
    </row>
    <row r="608">
      <c r="A608" s="2">
        <f>IFERROR(__xludf.DUMMYFUNCTION("""COMPUTED_VALUE"""),45870.66666666667)</f>
        <v>45870.66667</v>
      </c>
      <c r="B608" s="3">
        <f>IFERROR(__xludf.DUMMYFUNCTION("""COMPUTED_VALUE"""),132.0)</f>
        <v>132</v>
      </c>
    </row>
    <row r="609">
      <c r="A609" s="2">
        <f>IFERROR(__xludf.DUMMYFUNCTION("""COMPUTED_VALUE"""),45873.66666666667)</f>
        <v>45873.66667</v>
      </c>
      <c r="B609" s="3">
        <f>IFERROR(__xludf.DUMMYFUNCTION("""COMPUTED_VALUE"""),131.0)</f>
        <v>131</v>
      </c>
    </row>
    <row r="610">
      <c r="A610" s="2">
        <f>IFERROR(__xludf.DUMMYFUNCTION("""COMPUTED_VALUE"""),45874.66666666667)</f>
        <v>45874.66667</v>
      </c>
      <c r="B610" s="3">
        <f>IFERROR(__xludf.DUMMYFUNCTION("""COMPUTED_VALUE"""),126.0)</f>
        <v>126</v>
      </c>
    </row>
    <row r="611">
      <c r="A611" s="2">
        <f>IFERROR(__xludf.DUMMYFUNCTION("""COMPUTED_VALUE"""),45875.66666666667)</f>
        <v>45875.66667</v>
      </c>
      <c r="B611" s="3">
        <f>IFERROR(__xludf.DUMMYFUNCTION("""COMPUTED_VALUE"""),137.0)</f>
        <v>137</v>
      </c>
    </row>
    <row r="612">
      <c r="A612" s="2">
        <f>IFERROR(__xludf.DUMMYFUNCTION("""COMPUTED_VALUE"""),45876.66666666667)</f>
        <v>45876.66667</v>
      </c>
      <c r="B612" s="3">
        <f>IFERROR(__xludf.DUMMYFUNCTION("""COMPUTED_VALUE"""),130.0)</f>
        <v>130</v>
      </c>
    </row>
    <row r="613">
      <c r="A613" s="2">
        <f>IFERROR(__xludf.DUMMYFUNCTION("""COMPUTED_VALUE"""),45877.66666666667)</f>
        <v>45877.66667</v>
      </c>
      <c r="B613" s="3">
        <f>IFERROR(__xludf.DUMMYFUNCTION("""COMPUTED_VALUE"""),126.0)</f>
        <v>126</v>
      </c>
    </row>
    <row r="614">
      <c r="A614" s="2">
        <f>IFERROR(__xludf.DUMMYFUNCTION("""COMPUTED_VALUE"""),45880.66666666667)</f>
        <v>45880.66667</v>
      </c>
      <c r="B614" s="3">
        <f>IFERROR(__xludf.DUMMYFUNCTION("""COMPUTED_VALUE"""),123.0)</f>
        <v>123</v>
      </c>
    </row>
    <row r="615">
      <c r="A615" s="2">
        <f>IFERROR(__xludf.DUMMYFUNCTION("""COMPUTED_VALUE"""),45881.66666666667)</f>
        <v>45881.66667</v>
      </c>
      <c r="B615" s="3">
        <f>IFERROR(__xludf.DUMMYFUNCTION("""COMPUTED_VALUE"""),124.0)</f>
        <v>124</v>
      </c>
    </row>
    <row r="616">
      <c r="A616" s="2">
        <f>IFERROR(__xludf.DUMMYFUNCTION("""COMPUTED_VALUE"""),45882.66666666667)</f>
        <v>45882.66667</v>
      </c>
      <c r="B616" s="3">
        <f>IFERROR(__xludf.DUMMYFUNCTION("""COMPUTED_VALUE"""),125.0)</f>
        <v>125</v>
      </c>
    </row>
    <row r="617">
      <c r="A617" s="2">
        <f>IFERROR(__xludf.DUMMYFUNCTION("""COMPUTED_VALUE"""),45883.66666666667)</f>
        <v>45883.66667</v>
      </c>
      <c r="B617" s="3">
        <f>IFERROR(__xludf.DUMMYFUNCTION("""COMPUTED_VALUE"""),126.0)</f>
        <v>126</v>
      </c>
    </row>
    <row r="618">
      <c r="A618" s="2">
        <f>IFERROR(__xludf.DUMMYFUNCTION("""COMPUTED_VALUE"""),45884.66666666667)</f>
        <v>45884.66667</v>
      </c>
      <c r="B618" s="3">
        <f>IFERROR(__xludf.DUMMYFUNCTION("""COMPUTED_VALUE"""),124.0)</f>
        <v>124</v>
      </c>
    </row>
    <row r="619">
      <c r="A619" s="2">
        <f>IFERROR(__xludf.DUMMYFUNCTION("""COMPUTED_VALUE"""),45888.66666666667)</f>
        <v>45888.66667</v>
      </c>
      <c r="B619" s="3">
        <f>IFERROR(__xludf.DUMMYFUNCTION("""COMPUTED_VALUE"""),127.0)</f>
        <v>127</v>
      </c>
    </row>
    <row r="620">
      <c r="A620" s="2">
        <f>IFERROR(__xludf.DUMMYFUNCTION("""COMPUTED_VALUE"""),45889.66666666667)</f>
        <v>45889.66667</v>
      </c>
      <c r="B620" s="3">
        <f>IFERROR(__xludf.DUMMYFUNCTION("""COMPUTED_VALUE"""),126.0)</f>
        <v>126</v>
      </c>
    </row>
    <row r="621">
      <c r="A621" s="2">
        <f>IFERROR(__xludf.DUMMYFUNCTION("""COMPUTED_VALUE"""),45890.66666666667)</f>
        <v>45890.66667</v>
      </c>
      <c r="B621" s="3">
        <f>IFERROR(__xludf.DUMMYFUNCTION("""COMPUTED_VALUE"""),126.0)</f>
        <v>126</v>
      </c>
    </row>
    <row r="622">
      <c r="A622" s="2">
        <f>IFERROR(__xludf.DUMMYFUNCTION("""COMPUTED_VALUE"""),45891.66666666667)</f>
        <v>45891.66667</v>
      </c>
      <c r="B622" s="3">
        <f>IFERROR(__xludf.DUMMYFUNCTION("""COMPUTED_VALUE"""),124.0)</f>
        <v>124</v>
      </c>
    </row>
    <row r="623">
      <c r="A623" s="2">
        <f>IFERROR(__xludf.DUMMYFUNCTION("""COMPUTED_VALUE"""),45894.66666666667)</f>
        <v>45894.66667</v>
      </c>
      <c r="B623" s="3">
        <f>IFERROR(__xludf.DUMMYFUNCTION("""COMPUTED_VALUE"""),124.0)</f>
        <v>124</v>
      </c>
    </row>
    <row r="624">
      <c r="A624" s="2">
        <f>IFERROR(__xludf.DUMMYFUNCTION("""COMPUTED_VALUE"""),45895.66666666667)</f>
        <v>45895.66667</v>
      </c>
      <c r="B624" s="3">
        <f>IFERROR(__xludf.DUMMYFUNCTION("""COMPUTED_VALUE"""),125.0)</f>
        <v>125</v>
      </c>
    </row>
    <row r="625">
      <c r="A625" s="2">
        <f>IFERROR(__xludf.DUMMYFUNCTION("""COMPUTED_VALUE"""),45896.66666666667)</f>
        <v>45896.66667</v>
      </c>
      <c r="B625" s="3">
        <f>IFERROR(__xludf.DUMMYFUNCTION("""COMPUTED_VALUE"""),125.0)</f>
        <v>125</v>
      </c>
    </row>
    <row r="626">
      <c r="A626" s="2">
        <f>IFERROR(__xludf.DUMMYFUNCTION("""COMPUTED_VALUE"""),45897.66666666667)</f>
        <v>45897.66667</v>
      </c>
      <c r="B626" s="3">
        <f>IFERROR(__xludf.DUMMYFUNCTION("""COMPUTED_VALUE"""),125.0)</f>
        <v>125</v>
      </c>
    </row>
    <row r="627">
      <c r="A627" s="2">
        <f>IFERROR(__xludf.DUMMYFUNCTION("""COMPUTED_VALUE"""),45898.66666666667)</f>
        <v>45898.66667</v>
      </c>
      <c r="B627" s="3">
        <f>IFERROR(__xludf.DUMMYFUNCTION("""COMPUTED_VALUE"""),119.0)</f>
        <v>119</v>
      </c>
    </row>
    <row r="628">
      <c r="A628" s="2">
        <f>IFERROR(__xludf.DUMMYFUNCTION("""COMPUTED_VALUE"""),45901.66666666667)</f>
        <v>45901.66667</v>
      </c>
      <c r="B628" s="3">
        <f>IFERROR(__xludf.DUMMYFUNCTION("""COMPUTED_VALUE"""),117.0)</f>
        <v>117</v>
      </c>
    </row>
    <row r="629">
      <c r="A629" s="2">
        <f>IFERROR(__xludf.DUMMYFUNCTION("""COMPUTED_VALUE"""),45902.66666666667)</f>
        <v>45902.66667</v>
      </c>
      <c r="B629" s="3">
        <f>IFERROR(__xludf.DUMMYFUNCTION("""COMPUTED_VALUE"""),126.0)</f>
        <v>126</v>
      </c>
    </row>
    <row r="630">
      <c r="A630" s="2">
        <f>IFERROR(__xludf.DUMMYFUNCTION("""COMPUTED_VALUE"""),45903.66666666667)</f>
        <v>45903.66667</v>
      </c>
      <c r="B630" s="3">
        <f>IFERROR(__xludf.DUMMYFUNCTION("""COMPUTED_VALUE"""),127.0)</f>
        <v>127</v>
      </c>
    </row>
    <row r="631">
      <c r="A631" s="2">
        <f>IFERROR(__xludf.DUMMYFUNCTION("""COMPUTED_VALUE"""),45904.66666666667)</f>
        <v>45904.66667</v>
      </c>
      <c r="B631" s="3">
        <f>IFERROR(__xludf.DUMMYFUNCTION("""COMPUTED_VALUE"""),125.0)</f>
        <v>125</v>
      </c>
    </row>
    <row r="632">
      <c r="A632" s="2">
        <f>IFERROR(__xludf.DUMMYFUNCTION("""COMPUTED_VALUE"""),45908.66666666667)</f>
        <v>45908.66667</v>
      </c>
      <c r="B632" s="3">
        <f>IFERROR(__xludf.DUMMYFUNCTION("""COMPUTED_VALUE"""),120.0)</f>
        <v>120</v>
      </c>
    </row>
    <row r="633">
      <c r="A633" s="2">
        <f>IFERROR(__xludf.DUMMYFUNCTION("""COMPUTED_VALUE"""),45909.66666666667)</f>
        <v>45909.66667</v>
      </c>
      <c r="B633" s="3">
        <f>IFERROR(__xludf.DUMMYFUNCTION("""COMPUTED_VALUE"""),119.0)</f>
        <v>119</v>
      </c>
    </row>
    <row r="634">
      <c r="A634" s="2">
        <f>IFERROR(__xludf.DUMMYFUNCTION("""COMPUTED_VALUE"""),45910.66666666667)</f>
        <v>45910.66667</v>
      </c>
      <c r="B634" s="3">
        <f>IFERROR(__xludf.DUMMYFUNCTION("""COMPUTED_VALUE"""),121.0)</f>
        <v>121</v>
      </c>
    </row>
    <row r="635">
      <c r="A635" s="2">
        <f>IFERROR(__xludf.DUMMYFUNCTION("""COMPUTED_VALUE"""),45911.66666666667)</f>
        <v>45911.66667</v>
      </c>
      <c r="B635" s="3">
        <f>IFERROR(__xludf.DUMMYFUNCTION("""COMPUTED_VALUE"""),122.0)</f>
        <v>122</v>
      </c>
    </row>
    <row r="636">
      <c r="A636" s="2">
        <f>IFERROR(__xludf.DUMMYFUNCTION("""COMPUTED_VALUE"""),45912.66666666667)</f>
        <v>45912.66667</v>
      </c>
      <c r="B636" s="3">
        <f>IFERROR(__xludf.DUMMYFUNCTION("""COMPUTED_VALUE"""),124.0)</f>
        <v>124</v>
      </c>
    </row>
    <row r="637">
      <c r="A637" s="2">
        <f>IFERROR(__xludf.DUMMYFUNCTION("""COMPUTED_VALUE"""),45915.66666666667)</f>
        <v>45915.66667</v>
      </c>
      <c r="B637" s="3">
        <f>IFERROR(__xludf.DUMMYFUNCTION("""COMPUTED_VALUE"""),132.0)</f>
        <v>132</v>
      </c>
    </row>
    <row r="638">
      <c r="A638" s="2">
        <f>IFERROR(__xludf.DUMMYFUNCTION("""COMPUTED_VALUE"""),45916.66666666667)</f>
        <v>45916.66667</v>
      </c>
      <c r="B638" s="3">
        <f>IFERROR(__xludf.DUMMYFUNCTION("""COMPUTED_VALUE"""),125.0)</f>
        <v>125</v>
      </c>
    </row>
    <row r="639">
      <c r="A639" s="2">
        <f>IFERROR(__xludf.DUMMYFUNCTION("""COMPUTED_VALUE"""),45917.66666666667)</f>
        <v>45917.66667</v>
      </c>
      <c r="B639" s="3">
        <f>IFERROR(__xludf.DUMMYFUNCTION("""COMPUTED_VALUE"""),123.0)</f>
        <v>123</v>
      </c>
    </row>
    <row r="640">
      <c r="A640" s="2">
        <f>IFERROR(__xludf.DUMMYFUNCTION("""COMPUTED_VALUE"""),45918.66666666667)</f>
        <v>45918.66667</v>
      </c>
      <c r="B640" s="3">
        <f>IFERROR(__xludf.DUMMYFUNCTION("""COMPUTED_VALUE"""),121.0)</f>
        <v>121</v>
      </c>
    </row>
    <row r="641">
      <c r="A641" s="2">
        <f>IFERROR(__xludf.DUMMYFUNCTION("""COMPUTED_VALUE"""),45919.66666666667)</f>
        <v>45919.66667</v>
      </c>
      <c r="B641" s="3">
        <f>IFERROR(__xludf.DUMMYFUNCTION("""COMPUTED_VALUE"""),119.0)</f>
        <v>119</v>
      </c>
    </row>
    <row r="642">
      <c r="A642" s="2">
        <f>IFERROR(__xludf.DUMMYFUNCTION("""COMPUTED_VALUE"""),45922.66666666667)</f>
        <v>45922.66667</v>
      </c>
      <c r="B642" s="3">
        <f>IFERROR(__xludf.DUMMYFUNCTION("""COMPUTED_VALUE"""),118.0)</f>
        <v>118</v>
      </c>
    </row>
    <row r="643">
      <c r="A643" s="2">
        <f>IFERROR(__xludf.DUMMYFUNCTION("""COMPUTED_VALUE"""),45923.66666666667)</f>
        <v>45923.66667</v>
      </c>
      <c r="B643" s="3">
        <f>IFERROR(__xludf.DUMMYFUNCTION("""COMPUTED_VALUE"""),117.0)</f>
        <v>117</v>
      </c>
    </row>
    <row r="644">
      <c r="A644" s="2">
        <f>IFERROR(__xludf.DUMMYFUNCTION("""COMPUTED_VALUE"""),45924.66666666667)</f>
        <v>45924.66667</v>
      </c>
      <c r="B644" s="3">
        <f>IFERROR(__xludf.DUMMYFUNCTION("""COMPUTED_VALUE"""),116.0)</f>
        <v>116</v>
      </c>
    </row>
    <row r="645">
      <c r="A645" s="2">
        <f>IFERROR(__xludf.DUMMYFUNCTION("""COMPUTED_VALUE"""),45925.66666666667)</f>
        <v>45925.66667</v>
      </c>
      <c r="B645" s="3">
        <f>IFERROR(__xludf.DUMMYFUNCTION("""COMPUTED_VALUE"""),116.0)</f>
        <v>116</v>
      </c>
    </row>
    <row r="646">
      <c r="A646" s="2">
        <f>IFERROR(__xludf.DUMMYFUNCTION("""COMPUTED_VALUE"""),45926.66666666667)</f>
        <v>45926.66667</v>
      </c>
      <c r="B646" s="3">
        <f>IFERROR(__xludf.DUMMYFUNCTION("""COMPUTED_VALUE"""),118.0)</f>
        <v>118</v>
      </c>
    </row>
    <row r="647">
      <c r="A647" s="2">
        <f>IFERROR(__xludf.DUMMYFUNCTION("""COMPUTED_VALUE"""),45929.66666666667)</f>
        <v>45929.66667</v>
      </c>
      <c r="B647" s="3">
        <f>IFERROR(__xludf.DUMMYFUNCTION("""COMPUTED_VALUE"""),118.0)</f>
        <v>118</v>
      </c>
    </row>
    <row r="648">
      <c r="A648" s="2">
        <f>IFERROR(__xludf.DUMMYFUNCTION("""COMPUTED_VALUE"""),45930.66666666667)</f>
        <v>45930.66667</v>
      </c>
      <c r="B648" s="3">
        <f>IFERROR(__xludf.DUMMYFUNCTION("""COMPUTED_VALUE"""),118.0)</f>
        <v>118</v>
      </c>
    </row>
    <row r="649">
      <c r="A649" s="2">
        <f>IFERROR(__xludf.DUMMYFUNCTION("""COMPUTED_VALUE"""),45931.66666666667)</f>
        <v>45931.66667</v>
      </c>
      <c r="B649" s="3">
        <f>IFERROR(__xludf.DUMMYFUNCTION("""COMPUTED_VALUE"""),126.0)</f>
        <v>126</v>
      </c>
    </row>
    <row r="650">
      <c r="A650" s="2">
        <f>IFERROR(__xludf.DUMMYFUNCTION("""COMPUTED_VALUE"""),45932.66666666667)</f>
        <v>45932.66667</v>
      </c>
      <c r="B650" s="3">
        <f>IFERROR(__xludf.DUMMYFUNCTION("""COMPUTED_VALUE"""),129.0)</f>
        <v>129</v>
      </c>
    </row>
    <row r="651">
      <c r="A651" s="2">
        <f>IFERROR(__xludf.DUMMYFUNCTION("""COMPUTED_VALUE"""),45933.66666666667)</f>
        <v>45933.66667</v>
      </c>
      <c r="B651" s="3">
        <f>IFERROR(__xludf.DUMMYFUNCTION("""COMPUTED_VALUE"""),149.0)</f>
        <v>149</v>
      </c>
    </row>
    <row r="652">
      <c r="A652" s="2">
        <f>IFERROR(__xludf.DUMMYFUNCTION("""COMPUTED_VALUE"""),45936.66666666667)</f>
        <v>45936.66667</v>
      </c>
      <c r="B652" s="3">
        <f>IFERROR(__xludf.DUMMYFUNCTION("""COMPUTED_VALUE"""),149.0)</f>
        <v>149</v>
      </c>
    </row>
    <row r="653">
      <c r="A653" s="2">
        <f>IFERROR(__xludf.DUMMYFUNCTION("""COMPUTED_VALUE"""),45937.66666666667)</f>
        <v>45937.66667</v>
      </c>
      <c r="B653" s="3">
        <f>IFERROR(__xludf.DUMMYFUNCTION("""COMPUTED_VALUE"""),135.0)</f>
        <v>135</v>
      </c>
    </row>
    <row r="654">
      <c r="A654" s="2">
        <f>IFERROR(__xludf.DUMMYFUNCTION("""COMPUTED_VALUE"""),45938.66666666667)</f>
        <v>45938.66667</v>
      </c>
      <c r="B654" s="3">
        <f>IFERROR(__xludf.DUMMYFUNCTION("""COMPUTED_VALUE"""),133.0)</f>
        <v>133</v>
      </c>
    </row>
    <row r="655">
      <c r="A655" s="2">
        <f>IFERROR(__xludf.DUMMYFUNCTION("""COMPUTED_VALUE"""),45939.66666666667)</f>
        <v>45939.66667</v>
      </c>
      <c r="B655" s="3">
        <f>IFERROR(__xludf.DUMMYFUNCTION("""COMPUTED_VALUE"""),137.0)</f>
        <v>137</v>
      </c>
    </row>
    <row r="656">
      <c r="A656" s="2">
        <f>IFERROR(__xludf.DUMMYFUNCTION("""COMPUTED_VALUE"""),45940.66666666667)</f>
        <v>45940.66667</v>
      </c>
      <c r="B656" s="3">
        <f>IFERROR(__xludf.DUMMYFUNCTION("""COMPUTED_VALUE"""),138.0)</f>
        <v>138</v>
      </c>
    </row>
    <row r="657">
      <c r="A657" s="2">
        <f>IFERROR(__xludf.DUMMYFUNCTION("""COMPUTED_VALUE"""),45943.66666666667)</f>
        <v>45943.66667</v>
      </c>
      <c r="B657" s="3">
        <f>IFERROR(__xludf.DUMMYFUNCTION("""COMPUTED_VALUE"""),133.0)</f>
        <v>133</v>
      </c>
    </row>
    <row r="658">
      <c r="A658" s="2">
        <f>IFERROR(__xludf.DUMMYFUNCTION("""COMPUTED_VALUE"""),45944.66666666667)</f>
        <v>45944.66667</v>
      </c>
      <c r="B658" s="3">
        <f>IFERROR(__xludf.DUMMYFUNCTION("""COMPUTED_VALUE"""),131.0)</f>
        <v>131</v>
      </c>
    </row>
    <row r="659">
      <c r="A659" s="2">
        <f>IFERROR(__xludf.DUMMYFUNCTION("""COMPUTED_VALUE"""),45945.66666666667)</f>
        <v>45945.66667</v>
      </c>
      <c r="B659" s="3">
        <f>IFERROR(__xludf.DUMMYFUNCTION("""COMPUTED_VALUE"""),126.0)</f>
        <v>126</v>
      </c>
    </row>
    <row r="660">
      <c r="A660" s="2">
        <f>IFERROR(__xludf.DUMMYFUNCTION("""COMPUTED_VALUE"""),45946.66666666667)</f>
        <v>45946.66667</v>
      </c>
      <c r="B660" s="3">
        <f>IFERROR(__xludf.DUMMYFUNCTION("""COMPUTED_VALUE"""),130.0)</f>
        <v>130</v>
      </c>
    </row>
    <row r="661">
      <c r="A661" s="2">
        <f>IFERROR(__xludf.DUMMYFUNCTION("""COMPUTED_VALUE"""),45947.66666666667)</f>
        <v>45947.66667</v>
      </c>
      <c r="B661" s="3">
        <f>IFERROR(__xludf.DUMMYFUNCTION("""COMPUTED_VALUE"""),121.0)</f>
        <v>121</v>
      </c>
    </row>
    <row r="662">
      <c r="A662" s="2">
        <f>IFERROR(__xludf.DUMMYFUNCTION("""COMPUTED_VALUE"""),45950.66666666667)</f>
        <v>45950.66667</v>
      </c>
      <c r="B662" s="3">
        <f>IFERROR(__xludf.DUMMYFUNCTION("""COMPUTED_VALUE"""),123.0)</f>
        <v>123</v>
      </c>
    </row>
    <row r="663">
      <c r="A663" s="2">
        <f>IFERROR(__xludf.DUMMYFUNCTION("""COMPUTED_VALUE"""),45951.66666666667)</f>
        <v>45951.66667</v>
      </c>
      <c r="B663" s="3">
        <f>IFERROR(__xludf.DUMMYFUNCTION("""COMPUTED_VALUE"""),136.0)</f>
        <v>136</v>
      </c>
    </row>
    <row r="664">
      <c r="A664" s="2">
        <f>IFERROR(__xludf.DUMMYFUNCTION("""COMPUTED_VALUE"""),45952.66666666667)</f>
        <v>45952.66667</v>
      </c>
      <c r="B664" s="3">
        <f>IFERROR(__xludf.DUMMYFUNCTION("""COMPUTED_VALUE"""),133.0)</f>
        <v>133</v>
      </c>
    </row>
    <row r="665">
      <c r="A665" s="2">
        <f>IFERROR(__xludf.DUMMYFUNCTION("""COMPUTED_VALUE"""),45953.66666666667)</f>
        <v>45953.66667</v>
      </c>
      <c r="B665" s="3">
        <f>IFERROR(__xludf.DUMMYFUNCTION("""COMPUTED_VALUE"""),137.0)</f>
        <v>137</v>
      </c>
    </row>
    <row r="666">
      <c r="A666" s="2">
        <f>IFERROR(__xludf.DUMMYFUNCTION("""COMPUTED_VALUE"""),45954.66666666667)</f>
        <v>45954.66667</v>
      </c>
      <c r="B666" s="3">
        <f>IFERROR(__xludf.DUMMYFUNCTION("""COMPUTED_VALUE"""),132.0)</f>
        <v>132</v>
      </c>
    </row>
    <row r="667">
      <c r="A667" s="2">
        <f>IFERROR(__xludf.DUMMYFUNCTION("""COMPUTED_VALUE"""),45957.66666666667)</f>
        <v>45957.66667</v>
      </c>
      <c r="B667" s="3">
        <f>IFERROR(__xludf.DUMMYFUNCTION("""COMPUTED_VALUE"""),131.0)</f>
        <v>131</v>
      </c>
    </row>
    <row r="668">
      <c r="A668" s="2">
        <f>IFERROR(__xludf.DUMMYFUNCTION("""COMPUTED_VALUE"""),45958.66666666667)</f>
        <v>45958.66667</v>
      </c>
      <c r="B668" s="3">
        <f>IFERROR(__xludf.DUMMYFUNCTION("""COMPUTED_VALUE"""),131.0)</f>
        <v>131</v>
      </c>
    </row>
    <row r="669">
      <c r="A669" s="2">
        <f>IFERROR(__xludf.DUMMYFUNCTION("""COMPUTED_VALUE"""),45959.66666666667)</f>
        <v>45959.66667</v>
      </c>
      <c r="B669" s="3">
        <f>IFERROR(__xludf.DUMMYFUNCTION("""COMPUTED_VALUE"""),130.0)</f>
        <v>130</v>
      </c>
    </row>
    <row r="670">
      <c r="A670" s="2">
        <f>IFERROR(__xludf.DUMMYFUNCTION("""COMPUTED_VALUE"""),45960.66666666667)</f>
        <v>45960.66667</v>
      </c>
      <c r="B670" s="3">
        <f>IFERROR(__xludf.DUMMYFUNCTION("""COMPUTED_VALUE"""),133.0)</f>
        <v>133</v>
      </c>
    </row>
    <row r="671">
      <c r="A671" s="2">
        <f>IFERROR(__xludf.DUMMYFUNCTION("""COMPUTED_VALUE"""),45961.66666666667)</f>
        <v>45961.66667</v>
      </c>
      <c r="B671" s="3">
        <f>IFERROR(__xludf.DUMMYFUNCTION("""COMPUTED_VALUE"""),136.0)</f>
        <v>136</v>
      </c>
    </row>
    <row r="672">
      <c r="A672" s="2">
        <f>IFERROR(__xludf.DUMMYFUNCTION("""COMPUTED_VALUE"""),45964.66666666667)</f>
        <v>45964.66667</v>
      </c>
      <c r="B672" s="3">
        <f>IFERROR(__xludf.DUMMYFUNCTION("""COMPUTED_VALUE"""),135.0)</f>
        <v>135</v>
      </c>
    </row>
    <row r="673">
      <c r="A673" s="2">
        <f>IFERROR(__xludf.DUMMYFUNCTION("""COMPUTED_VALUE"""),45965.66666666667)</f>
        <v>45965.66667</v>
      </c>
      <c r="B673" s="3">
        <f>IFERROR(__xludf.DUMMYFUNCTION("""COMPUTED_VALUE"""),133.0)</f>
        <v>133</v>
      </c>
    </row>
    <row r="674">
      <c r="A674" s="2">
        <f>IFERROR(__xludf.DUMMYFUNCTION("""COMPUTED_VALUE"""),45966.66666666667)</f>
        <v>45966.66667</v>
      </c>
      <c r="B674" s="3">
        <f>IFERROR(__xludf.DUMMYFUNCTION("""COMPUTED_VALUE"""),131.0)</f>
        <v>131</v>
      </c>
    </row>
    <row r="675">
      <c r="A675" s="2">
        <f>IFERROR(__xludf.DUMMYFUNCTION("""COMPUTED_VALUE"""),45967.66666666667)</f>
        <v>45967.66667</v>
      </c>
      <c r="B675" s="3">
        <f>IFERROR(__xludf.DUMMYFUNCTION("""COMPUTED_VALUE"""),131.0)</f>
        <v>131</v>
      </c>
    </row>
    <row r="676">
      <c r="A676" s="2">
        <f>IFERROR(__xludf.DUMMYFUNCTION("""COMPUTED_VALUE"""),45968.66666666667)</f>
        <v>45968.66667</v>
      </c>
      <c r="B676" s="3">
        <f>IFERROR(__xludf.DUMMYFUNCTION("""COMPUTED_VALUE"""),130.0)</f>
        <v>130</v>
      </c>
    </row>
    <row r="677">
      <c r="A677" s="2">
        <f>IFERROR(__xludf.DUMMYFUNCTION("""COMPUTED_VALUE"""),45971.66666666667)</f>
        <v>45971.66667</v>
      </c>
      <c r="B677" s="3">
        <f>IFERROR(__xludf.DUMMYFUNCTION("""COMPUTED_VALUE"""),130.0)</f>
        <v>130</v>
      </c>
    </row>
    <row r="678">
      <c r="A678" s="2">
        <f>IFERROR(__xludf.DUMMYFUNCTION("""COMPUTED_VALUE"""),45972.66666666667)</f>
        <v>45972.66667</v>
      </c>
      <c r="B678" s="3">
        <f>IFERROR(__xludf.DUMMYFUNCTION("""COMPUTED_VALUE"""),141.0)</f>
        <v>141</v>
      </c>
    </row>
    <row r="679">
      <c r="A679" s="2">
        <f>IFERROR(__xludf.DUMMYFUNCTION("""COMPUTED_VALUE"""),45973.66666666667)</f>
        <v>45973.66667</v>
      </c>
      <c r="B679" s="3">
        <f>IFERROR(__xludf.DUMMYFUNCTION("""COMPUTED_VALUE"""),137.0)</f>
        <v>137</v>
      </c>
    </row>
    <row r="680">
      <c r="A680" s="2">
        <f>IFERROR(__xludf.DUMMYFUNCTION("""COMPUTED_VALUE"""),45974.66666666667)</f>
        <v>45974.66667</v>
      </c>
      <c r="B680" s="3">
        <f>IFERROR(__xludf.DUMMYFUNCTION("""COMPUTED_VALUE"""),141.0)</f>
        <v>141</v>
      </c>
    </row>
    <row r="681">
      <c r="A681" s="2">
        <f>IFERROR(__xludf.DUMMYFUNCTION("""COMPUTED_VALUE"""),45975.66666666667)</f>
        <v>45975.66667</v>
      </c>
      <c r="B681" s="3">
        <f>IFERROR(__xludf.DUMMYFUNCTION("""COMPUTED_VALUE"""),142.0)</f>
        <v>142</v>
      </c>
    </row>
    <row r="682">
      <c r="A682" s="2">
        <f>IFERROR(__xludf.DUMMYFUNCTION("""COMPUTED_VALUE"""),45978.66666666667)</f>
        <v>45978.66667</v>
      </c>
      <c r="B682" s="3">
        <f>IFERROR(__xludf.DUMMYFUNCTION("""COMPUTED_VALUE"""),191.0)</f>
        <v>191</v>
      </c>
    </row>
    <row r="683">
      <c r="A683" s="2">
        <f>IFERROR(__xludf.DUMMYFUNCTION("""COMPUTED_VALUE"""),45979.66666666667)</f>
        <v>45979.66667</v>
      </c>
      <c r="B683" s="3">
        <f>IFERROR(__xludf.DUMMYFUNCTION("""COMPUTED_VALUE"""),216.0)</f>
        <v>216</v>
      </c>
    </row>
    <row r="684">
      <c r="A684" s="2">
        <f>IFERROR(__xludf.DUMMYFUNCTION("""COMPUTED_VALUE"""),45980.66666666667)</f>
        <v>45980.66667</v>
      </c>
      <c r="B684" s="3">
        <f>IFERROR(__xludf.DUMMYFUNCTION("""COMPUTED_VALUE"""),222.0)</f>
        <v>222</v>
      </c>
    </row>
    <row r="685">
      <c r="A685" s="2">
        <f>IFERROR(__xludf.DUMMYFUNCTION("""COMPUTED_VALUE"""),45981.66666666667)</f>
        <v>45981.66667</v>
      </c>
      <c r="B685" s="3">
        <f>IFERROR(__xludf.DUMMYFUNCTION("""COMPUTED_VALUE"""),224.0)</f>
        <v>224</v>
      </c>
    </row>
    <row r="686">
      <c r="A686" s="2">
        <f>IFERROR(__xludf.DUMMYFUNCTION("""COMPUTED_VALUE"""),45982.66666666667)</f>
        <v>45982.66667</v>
      </c>
      <c r="B686" s="3">
        <f>IFERROR(__xludf.DUMMYFUNCTION("""COMPUTED_VALUE"""),222.0)</f>
        <v>222</v>
      </c>
    </row>
    <row r="687">
      <c r="A687" s="2">
        <f>IFERROR(__xludf.DUMMYFUNCTION("""COMPUTED_VALUE"""),45985.66666666667)</f>
        <v>45985.66667</v>
      </c>
      <c r="B687" s="3">
        <f>IFERROR(__xludf.DUMMYFUNCTION("""COMPUTED_VALUE"""),210.0)</f>
        <v>210</v>
      </c>
    </row>
    <row r="688">
      <c r="A688" s="2">
        <f>IFERROR(__xludf.DUMMYFUNCTION("""COMPUTED_VALUE"""),45986.66666666667)</f>
        <v>45986.66667</v>
      </c>
      <c r="B688" s="3">
        <f>IFERROR(__xludf.DUMMYFUNCTION("""COMPUTED_VALUE"""),234.0)</f>
        <v>234</v>
      </c>
    </row>
    <row r="689">
      <c r="A689" s="2">
        <f>IFERROR(__xludf.DUMMYFUNCTION("""COMPUTED_VALUE"""),45987.66666666667)</f>
        <v>45987.66667</v>
      </c>
      <c r="B689" s="3">
        <f>IFERROR(__xludf.DUMMYFUNCTION("""COMPUTED_VALUE"""),230.0)</f>
        <v>230</v>
      </c>
    </row>
    <row r="690">
      <c r="A690" s="2">
        <f>IFERROR(__xludf.DUMMYFUNCTION("""COMPUTED_VALUE"""),45988.66666666667)</f>
        <v>45988.66667</v>
      </c>
      <c r="B690" s="3">
        <f>IFERROR(__xludf.DUMMYFUNCTION("""COMPUTED_VALUE"""),234.0)</f>
        <v>234</v>
      </c>
    </row>
    <row r="691">
      <c r="A691" s="2">
        <f>IFERROR(__xludf.DUMMYFUNCTION("""COMPUTED_VALUE"""),45989.66666666667)</f>
        <v>45989.66667</v>
      </c>
      <c r="B691" s="3">
        <f>IFERROR(__xludf.DUMMYFUNCTION("""COMPUTED_VALUE"""),230.0)</f>
        <v>230</v>
      </c>
    </row>
    <row r="692">
      <c r="A692" s="2">
        <f>IFERROR(__xludf.DUMMYFUNCTION("""COMPUTED_VALUE"""),45992.66666666667)</f>
        <v>45992.66667</v>
      </c>
      <c r="B692" s="3">
        <f>IFERROR(__xludf.DUMMYFUNCTION("""COMPUTED_VALUE"""),238.0)</f>
        <v>238</v>
      </c>
    </row>
    <row r="693">
      <c r="A693" s="2">
        <f>IFERROR(__xludf.DUMMYFUNCTION("""COMPUTED_VALUE"""),45993.66666666667)</f>
        <v>45993.66667</v>
      </c>
      <c r="B693" s="3">
        <f>IFERROR(__xludf.DUMMYFUNCTION("""COMPUTED_VALUE"""),276.0)</f>
        <v>276</v>
      </c>
    </row>
    <row r="694">
      <c r="A694" s="2">
        <f>IFERROR(__xludf.DUMMYFUNCTION("""COMPUTED_VALUE"""),45994.66666666667)</f>
        <v>45994.66667</v>
      </c>
      <c r="B694" s="3">
        <f>IFERROR(__xludf.DUMMYFUNCTION("""COMPUTED_VALUE"""),270.0)</f>
        <v>270</v>
      </c>
    </row>
    <row r="695">
      <c r="A695" s="2">
        <f>IFERROR(__xludf.DUMMYFUNCTION("""COMPUTED_VALUE"""),45995.66666666667)</f>
        <v>45995.66667</v>
      </c>
      <c r="B695" s="3">
        <f>IFERROR(__xludf.DUMMYFUNCTION("""COMPUTED_VALUE"""),300.0)</f>
        <v>300</v>
      </c>
    </row>
    <row r="696">
      <c r="A696" s="2">
        <f>IFERROR(__xludf.DUMMYFUNCTION("""COMPUTED_VALUE"""),45996.66666666667)</f>
        <v>45996.66667</v>
      </c>
      <c r="B696" s="3">
        <f>IFERROR(__xludf.DUMMYFUNCTION("""COMPUTED_VALUE"""),286.0)</f>
        <v>286</v>
      </c>
    </row>
    <row r="697">
      <c r="A697" s="2">
        <f>IFERROR(__xludf.DUMMYFUNCTION("""COMPUTED_VALUE"""),45999.66666666667)</f>
        <v>45999.66667</v>
      </c>
      <c r="B697" s="3">
        <f>IFERROR(__xludf.DUMMYFUNCTION("""COMPUTED_VALUE"""),290.0)</f>
        <v>290</v>
      </c>
    </row>
    <row r="698">
      <c r="A698" s="2">
        <f>IFERROR(__xludf.DUMMYFUNCTION("""COMPUTED_VALUE"""),46000.66666666667)</f>
        <v>46000.66667</v>
      </c>
      <c r="B698" s="3">
        <f>IFERROR(__xludf.DUMMYFUNCTION("""COMPUTED_VALUE"""),278.0)</f>
        <v>278</v>
      </c>
    </row>
    <row r="699">
      <c r="A699" s="2">
        <f>IFERROR(__xludf.DUMMYFUNCTION("""COMPUTED_VALUE"""),46001.66666666667)</f>
        <v>46001.66667</v>
      </c>
      <c r="B699" s="3">
        <f>IFERROR(__xludf.DUMMYFUNCTION("""COMPUTED_VALUE"""),266.0)</f>
        <v>266</v>
      </c>
    </row>
    <row r="700">
      <c r="A700" s="2">
        <f>IFERROR(__xludf.DUMMYFUNCTION("""COMPUTED_VALUE"""),46002.66666666667)</f>
        <v>46002.66667</v>
      </c>
      <c r="B700" s="3">
        <f>IFERROR(__xludf.DUMMYFUNCTION("""COMPUTED_VALUE"""),262.0)</f>
        <v>262</v>
      </c>
    </row>
    <row r="701">
      <c r="A701" s="2">
        <f>IFERROR(__xludf.DUMMYFUNCTION("""COMPUTED_VALUE"""),46003.66666666667)</f>
        <v>46003.66667</v>
      </c>
      <c r="B701" s="3">
        <f>IFERROR(__xludf.DUMMYFUNCTION("""COMPUTED_VALUE"""),258.0)</f>
        <v>258</v>
      </c>
    </row>
    <row r="702">
      <c r="A702" s="2">
        <f>IFERROR(__xludf.DUMMYFUNCTION("""COMPUTED_VALUE"""),46006.66666666667)</f>
        <v>46006.66667</v>
      </c>
      <c r="B702" s="3">
        <f>IFERROR(__xludf.DUMMYFUNCTION("""COMPUTED_VALUE"""),264.0)</f>
        <v>264</v>
      </c>
    </row>
    <row r="703">
      <c r="A703" s="2">
        <f>IFERROR(__xludf.DUMMYFUNCTION("""COMPUTED_VALUE"""),46007.66666666667)</f>
        <v>46007.66667</v>
      </c>
      <c r="B703" s="3">
        <f>IFERROR(__xludf.DUMMYFUNCTION("""COMPUTED_VALUE"""),274.0)</f>
        <v>274</v>
      </c>
    </row>
    <row r="704">
      <c r="A704" s="2">
        <f>IFERROR(__xludf.DUMMYFUNCTION("""COMPUTED_VALUE"""),46008.66666666667)</f>
        <v>46008.66667</v>
      </c>
      <c r="B704" s="3">
        <f>IFERROR(__xludf.DUMMYFUNCTION("""COMPUTED_VALUE"""),274.0)</f>
        <v>274</v>
      </c>
    </row>
    <row r="705">
      <c r="A705" s="2">
        <f>IFERROR(__xludf.DUMMYFUNCTION("""COMPUTED_VALUE"""),46009.66666666667)</f>
        <v>46009.66667</v>
      </c>
      <c r="B705" s="3">
        <f>IFERROR(__xludf.DUMMYFUNCTION("""COMPUTED_VALUE"""),264.0)</f>
        <v>264</v>
      </c>
    </row>
    <row r="706">
      <c r="A706" s="2">
        <f>IFERROR(__xludf.DUMMYFUNCTION("""COMPUTED_VALUE"""),46010.66666666667)</f>
        <v>46010.66667</v>
      </c>
      <c r="B706" s="3">
        <f>IFERROR(__xludf.DUMMYFUNCTION("""COMPUTED_VALUE"""),226.0)</f>
        <v>226</v>
      </c>
    </row>
    <row r="707">
      <c r="A707" s="2">
        <f>IFERROR(__xludf.DUMMYFUNCTION("""COMPUTED_VALUE"""),46013.66666666667)</f>
        <v>46013.66667</v>
      </c>
      <c r="B707" s="3">
        <f>IFERROR(__xludf.DUMMYFUNCTION("""COMPUTED_VALUE"""),230.0)</f>
        <v>230</v>
      </c>
    </row>
    <row r="708">
      <c r="A708" s="2">
        <f>IFERROR(__xludf.DUMMYFUNCTION("""COMPUTED_VALUE"""),46014.66666666667)</f>
        <v>46014.66667</v>
      </c>
      <c r="B708" s="3">
        <f>IFERROR(__xludf.DUMMYFUNCTION("""COMPUTED_VALUE"""),226.0)</f>
        <v>226</v>
      </c>
    </row>
    <row r="709">
      <c r="A709" s="2">
        <f>IFERROR(__xludf.DUMMYFUNCTION("""COMPUTED_VALUE"""),46015.66666666667)</f>
        <v>46015.66667</v>
      </c>
      <c r="B709" s="3">
        <f>IFERROR(__xludf.DUMMYFUNCTION("""COMPUTED_VALUE"""),218.0)</f>
        <v>218</v>
      </c>
    </row>
    <row r="710">
      <c r="A710" s="2">
        <f>IFERROR(__xludf.DUMMYFUNCTION("""COMPUTED_VALUE"""),46020.66666666667)</f>
        <v>46020.66667</v>
      </c>
      <c r="B710" s="3">
        <f>IFERROR(__xludf.DUMMYFUNCTION("""COMPUTED_VALUE"""),238.0)</f>
        <v>238</v>
      </c>
    </row>
    <row r="711">
      <c r="A711" s="2">
        <f>IFERROR(__xludf.DUMMYFUNCTION("""COMPUTED_VALUE"""),46021.66666666667)</f>
        <v>46021.66667</v>
      </c>
      <c r="B711" s="3">
        <f>IFERROR(__xludf.DUMMYFUNCTION("""COMPUTED_VALUE"""),234.0)</f>
        <v>234</v>
      </c>
    </row>
  </sheetData>
  <drawing r:id="rId1"/>
</worksheet>
</file>